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1.- Proyectos\UPT\Clases\21.- Septiembre - Diciembre 2026\Clases\11026IMA (ESTI)\FO - EST - 03\"/>
    </mc:Choice>
  </mc:AlternateContent>
  <xr:revisionPtr revIDLastSave="17" documentId="13_ncr:1_{64EBC03F-2FA7-4D98-A879-1C1A6202288F}" xr6:coauthVersionLast="47" xr6:coauthVersionMax="47" xr10:uidLastSave="{B7A07535-FA2C-45D3-9E54-94AA665F4EBD}"/>
  <workbookProtection workbookAlgorithmName="SHA-512" workbookHashValue="RQdhGpfEgIzlRuhAMptRu1G4Z+pWDCMLEn9kaeb7+kQlibZFquIHTiVIXh8rHk//HuY1o1/g3gYRMJzl2rpB9g==" workbookSaltValue="+4508OnzvebUxwEuu1AdKw==" workbookSpinCount="100000" lockStructure="1"/>
  <bookViews>
    <workbookView xWindow="-120" yWindow="-120" windowWidth="20730" windowHeight="11040" firstSheet="3" xr2:uid="{00000000-000D-0000-FFFF-FFFF00000000}"/>
  </bookViews>
  <sheets>
    <sheet name="ESTUDIANTE 1" sheetId="2" r:id="rId1"/>
    <sheet name="ESTUDIANTE 2" sheetId="1" r:id="rId2"/>
    <sheet name="ESTUDIANTE 3" sheetId="5" r:id="rId3"/>
    <sheet name="ESTUDIANTE 4" sheetId="6" r:id="rId4"/>
    <sheet name="ESTUDIANTE 5" sheetId="7" r:id="rId5"/>
  </sheets>
  <definedNames>
    <definedName name="_xlnm.Print_Area" localSheetId="0">'ESTUDIANTE 1'!$A$1:$AD$60</definedName>
    <definedName name="_xlnm.Print_Area" localSheetId="1">'ESTUDIANTE 2'!$A$1:$AD$59</definedName>
    <definedName name="_xlnm.Print_Area" localSheetId="2">'ESTUDIANTE 3'!$A$1:$AD$59</definedName>
    <definedName name="_xlnm.Print_Area" localSheetId="3">'ESTUDIANTE 4'!$A$1:$AD$59</definedName>
    <definedName name="_xlnm.Print_Area" localSheetId="4">'ESTUDIANTE 5'!$A$1:$AD$59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" i="6" l="1"/>
  <c r="AA45" i="7"/>
  <c r="AA41" i="7"/>
  <c r="AA37" i="7"/>
  <c r="AA45" i="6"/>
  <c r="AA41" i="6"/>
  <c r="AA37" i="6"/>
  <c r="AA45" i="5"/>
  <c r="AA41" i="5"/>
  <c r="AA37" i="5"/>
  <c r="C14" i="7"/>
  <c r="C14" i="5"/>
  <c r="C14" i="1"/>
  <c r="C14" i="6" s="1"/>
  <c r="G55" i="7"/>
  <c r="G55" i="6"/>
  <c r="G55" i="5"/>
  <c r="G55" i="1"/>
  <c r="AA54" i="7"/>
  <c r="Y54" i="7"/>
  <c r="U54" i="7"/>
  <c r="D17" i="7"/>
  <c r="D16" i="7"/>
  <c r="D15" i="7"/>
  <c r="I10" i="7"/>
  <c r="P5" i="7"/>
  <c r="B10" i="7"/>
  <c r="AA8" i="7"/>
  <c r="AA6" i="7"/>
  <c r="AA54" i="6"/>
  <c r="Y54" i="6"/>
  <c r="U54" i="6"/>
  <c r="D17" i="6"/>
  <c r="D16" i="6"/>
  <c r="D15" i="6"/>
  <c r="B10" i="6"/>
  <c r="D17" i="5"/>
  <c r="D16" i="5"/>
  <c r="D15" i="5"/>
  <c r="AA8" i="5"/>
  <c r="AA6" i="5"/>
  <c r="I10" i="5"/>
  <c r="X5" i="5"/>
  <c r="B10" i="5"/>
  <c r="D17" i="1"/>
  <c r="D16" i="1"/>
  <c r="D15" i="1"/>
  <c r="AA8" i="1"/>
  <c r="AA6" i="1"/>
  <c r="I10" i="1"/>
  <c r="X5" i="1"/>
  <c r="B10" i="1"/>
  <c r="X5" i="2"/>
  <c r="P5" i="2"/>
  <c r="G5" i="2"/>
  <c r="X5" i="7"/>
  <c r="P5" i="5"/>
  <c r="P5" i="6"/>
  <c r="G5" i="5"/>
  <c r="G5" i="7"/>
  <c r="G5" i="1"/>
  <c r="P5" i="1"/>
  <c r="AA54" i="5"/>
  <c r="Y54" i="5"/>
  <c r="U54" i="5"/>
  <c r="AA55" i="2"/>
  <c r="Y55" i="2"/>
  <c r="U55" i="2"/>
  <c r="AA45" i="2"/>
  <c r="AA41" i="2"/>
  <c r="AA37" i="2"/>
  <c r="AA54" i="1"/>
  <c r="Y54" i="1"/>
  <c r="U54" i="1"/>
  <c r="AA45" i="1"/>
  <c r="AA41" i="1"/>
  <c r="AA37" i="1"/>
</calcChain>
</file>

<file path=xl/sharedStrings.xml><?xml version="1.0" encoding="utf-8"?>
<sst xmlns="http://schemas.openxmlformats.org/spreadsheetml/2006/main" count="446" uniqueCount="91">
  <si>
    <t>LISTA DE COTEJO DE PROYECTO / ACTITUD-SER</t>
  </si>
  <si>
    <t>Indique con una “X” la etapa realizada por el estudiante:</t>
  </si>
  <si>
    <r>
      <t>1</t>
    </r>
    <r>
      <rPr>
        <b/>
        <vertAlign val="superscript"/>
        <sz val="10"/>
        <color theme="1"/>
        <rFont val="Arial"/>
        <family val="2"/>
      </rPr>
      <t>a</t>
    </r>
    <r>
      <rPr>
        <b/>
        <sz val="10"/>
        <color theme="1"/>
        <rFont val="Arial"/>
        <family val="2"/>
      </rPr>
      <t xml:space="preserve"> Estancia</t>
    </r>
  </si>
  <si>
    <r>
      <t>2</t>
    </r>
    <r>
      <rPr>
        <b/>
        <vertAlign val="superscript"/>
        <sz val="10"/>
        <color theme="1"/>
        <rFont val="Arial"/>
        <family val="2"/>
      </rPr>
      <t>a</t>
    </r>
    <r>
      <rPr>
        <b/>
        <sz val="10"/>
        <color theme="1"/>
        <rFont val="Arial"/>
        <family val="2"/>
      </rPr>
      <t xml:space="preserve"> Estancia</t>
    </r>
  </si>
  <si>
    <t>Estadía</t>
  </si>
  <si>
    <t>GRUPO:</t>
  </si>
  <si>
    <t>PROYECTO:</t>
  </si>
  <si>
    <t>PERIODO</t>
  </si>
  <si>
    <t>CUATRIMESTRE</t>
  </si>
  <si>
    <t>CRITERIOS DE DESEMPEÑO</t>
  </si>
  <si>
    <t>Septiembre-Diciembre 2025</t>
  </si>
  <si>
    <t>Sexto</t>
  </si>
  <si>
    <t>Competente</t>
  </si>
  <si>
    <t>Independiente</t>
  </si>
  <si>
    <t>MATRÍCULA:</t>
  </si>
  <si>
    <t>Básico Avanzado</t>
  </si>
  <si>
    <t xml:space="preserve">NOMBRE DEL ALUMNO: </t>
  </si>
  <si>
    <t>Básico Umbral</t>
  </si>
  <si>
    <t>CARRERA:</t>
  </si>
  <si>
    <t>INGENIERÍA EN SOFTWARE</t>
  </si>
  <si>
    <t>No competente</t>
  </si>
  <si>
    <t>TÍTULO DEL PROYECTO:</t>
  </si>
  <si>
    <t xml:space="preserve">NOMBRE DE LA EMPRESA: </t>
  </si>
  <si>
    <t>ASESOR EMPRESARIAL:</t>
  </si>
  <si>
    <t>INSTRUCCIONES: Escriba la calificación que corresponda a cada criterio. (Saber y Saber Hacer)</t>
  </si>
  <si>
    <t xml:space="preserve">PARCIAL </t>
  </si>
  <si>
    <t>CRITERIO</t>
  </si>
  <si>
    <t>FECHA
(dd-mm-aa)</t>
  </si>
  <si>
    <t>NIVEL DE COMPETENCIA 
 OBTENIDA DE MANERA SUMATIVA
 EN LAS ENTREGAS PARCIALES  
DEL PROYECTO</t>
  </si>
  <si>
    <t>Observaciones</t>
  </si>
  <si>
    <t>TERCERO</t>
  </si>
  <si>
    <t>Empastado de acuerdo a indicaciones (Sólo aplica en Estadía)</t>
  </si>
  <si>
    <t>NINGUNA</t>
  </si>
  <si>
    <t>Hoja en blanco</t>
  </si>
  <si>
    <t>Carátula</t>
  </si>
  <si>
    <t>16 - 28 NOV</t>
  </si>
  <si>
    <t>AGRADECIMIENTOS</t>
  </si>
  <si>
    <t>ÍNDICE GENERAL</t>
  </si>
  <si>
    <t>ÍNDICE DE TABLAS</t>
  </si>
  <si>
    <t>ÍNDICE DE FIGURAS</t>
  </si>
  <si>
    <t>RESUMEN</t>
  </si>
  <si>
    <t>ABSTRACT</t>
  </si>
  <si>
    <t>INTRODUCCIÓN</t>
  </si>
  <si>
    <t>PRIMERO</t>
  </si>
  <si>
    <t>ANTECEDENTES</t>
  </si>
  <si>
    <t>1 - 5 SEPT.</t>
  </si>
  <si>
    <t>CALIFICACIÓN  1er PARCIAL</t>
  </si>
  <si>
    <t>PLANTEAMIENTO DEL PROBLEMA</t>
  </si>
  <si>
    <t>7 - 12 SEPT.</t>
  </si>
  <si>
    <t>JUSTIFICACIÓN</t>
  </si>
  <si>
    <t>14 - 19 SEPT</t>
  </si>
  <si>
    <t>OBJETIVO GENERAL</t>
  </si>
  <si>
    <t>21 - 26 SEPT.</t>
  </si>
  <si>
    <t>OBJETIVOS ESPECÍFICOS</t>
  </si>
  <si>
    <t>SEGUNDO</t>
  </si>
  <si>
    <t>MARCO TEÓRICO</t>
  </si>
  <si>
    <t>28 SEPT - 03 OCT</t>
  </si>
  <si>
    <t>CALIFICACIÓN 2doPARCIAL</t>
  </si>
  <si>
    <t>METODOLOGÍA</t>
  </si>
  <si>
    <t>05 - 10 OCT</t>
  </si>
  <si>
    <t>CRONOGRAMA</t>
  </si>
  <si>
    <t>12 - 17 OCT</t>
  </si>
  <si>
    <t>DESARROLLO DEL PROYECTO</t>
  </si>
  <si>
    <t>19 - 31 OCT</t>
  </si>
  <si>
    <t>RESULTADOS</t>
  </si>
  <si>
    <t>02 - 07 NOV</t>
  </si>
  <si>
    <t>CALIFICACIÓN 3erPARCIAL</t>
  </si>
  <si>
    <t>CONCLUSIONES Y RECOMENDACIONES</t>
  </si>
  <si>
    <t>09 - 13 NOV</t>
  </si>
  <si>
    <t>REFERENCIAS BIBLIOGRÁFICAS</t>
  </si>
  <si>
    <t>09 - 14 NOV</t>
  </si>
  <si>
    <t>ANEXOS</t>
  </si>
  <si>
    <t>ACTITUD DEL ESTUDIANTE (SER)</t>
  </si>
  <si>
    <t>Número de Parcial</t>
  </si>
  <si>
    <t>1o</t>
  </si>
  <si>
    <t>2o</t>
  </si>
  <si>
    <t>3o</t>
  </si>
  <si>
    <t>SER</t>
  </si>
  <si>
    <t>Puntualidad y asistencia.</t>
  </si>
  <si>
    <t>Responsabilidad en la veracidad y confiabilidad de la información.</t>
  </si>
  <si>
    <t>Atención y congruencia en las instrucciones del asesor académico.</t>
  </si>
  <si>
    <t>Ética en la confidencialidad y Objetividad en el desarrollo de la información empresarial.</t>
  </si>
  <si>
    <t>Capacidad , innovación e iniciativa para resolver problemas.</t>
  </si>
  <si>
    <t>Evidencia liderazgo y analiza sus areas de oportunidad.</t>
  </si>
  <si>
    <t>Calificación "ser"</t>
  </si>
  <si>
    <t>ING. JULIO LARA GARCÍA</t>
  </si>
  <si>
    <t>NOMBRE Y FIRMA DEL ASESOR ACADÉMICO</t>
  </si>
  <si>
    <t xml:space="preserve">La “Lista de cotejo del proyecto” (FO-EST-03)  aporta 40% del Saber ,40% Saber Hacer en el 1er y 2do parcial  y ser  en 1ro. , 2do.y 3er Parcial </t>
  </si>
  <si>
    <t xml:space="preserve">La “Lista de cotejo del proyecto” (FO-EST-03)  aporta 40% del Saber </t>
  </si>
  <si>
    <t>X</t>
  </si>
  <si>
    <t>Decimo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</si>
</sst>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"/>
    <numFmt numFmtId="165" formatCode="dd/mm/yyyy;@"/>
    <numFmt numFmtId="166" formatCode="dd\-mm\-yy;@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Gotham Book"/>
    </font>
    <font>
      <b/>
      <sz val="10"/>
      <color theme="1"/>
      <name val="Arial"/>
      <family val="2"/>
    </font>
    <font>
      <sz val="18"/>
      <color theme="1"/>
      <name val="Calibri"/>
      <family val="2"/>
      <scheme val="minor"/>
    </font>
    <font>
      <b/>
      <vertAlign val="superscript"/>
      <sz val="10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8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 vertical="top"/>
    </xf>
    <xf numFmtId="0" fontId="4" fillId="0" borderId="0" xfId="0" applyFont="1"/>
    <xf numFmtId="0" fontId="1" fillId="2" borderId="0" xfId="0" applyFont="1" applyFill="1"/>
    <xf numFmtId="0" fontId="1" fillId="0" borderId="0" xfId="0" applyFont="1"/>
    <xf numFmtId="0" fontId="8" fillId="0" borderId="0" xfId="0" applyFont="1"/>
    <xf numFmtId="0" fontId="0" fillId="0" borderId="9" xfId="0" applyBorder="1"/>
    <xf numFmtId="0" fontId="10" fillId="0" borderId="16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0" fillId="0" borderId="13" xfId="0" applyBorder="1"/>
    <xf numFmtId="0" fontId="10" fillId="0" borderId="20" xfId="0" applyFont="1" applyBorder="1" applyAlignment="1">
      <alignment horizontal="left"/>
    </xf>
    <xf numFmtId="0" fontId="10" fillId="0" borderId="21" xfId="0" applyFont="1" applyBorder="1" applyAlignment="1">
      <alignment horizontal="left"/>
    </xf>
    <xf numFmtId="0" fontId="0" fillId="0" borderId="22" xfId="0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3" fillId="0" borderId="0" xfId="0" applyFont="1"/>
    <xf numFmtId="0" fontId="11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1" fillId="0" borderId="10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7" fillId="0" borderId="0" xfId="0" applyFont="1"/>
    <xf numFmtId="164" fontId="9" fillId="0" borderId="0" xfId="0" applyNumberFormat="1" applyFont="1"/>
    <xf numFmtId="164" fontId="8" fillId="0" borderId="0" xfId="0" applyNumberFormat="1" applyFont="1"/>
    <xf numFmtId="0" fontId="7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9" fillId="0" borderId="45" xfId="0" applyFont="1" applyBorder="1"/>
    <xf numFmtId="0" fontId="10" fillId="0" borderId="27" xfId="0" applyFont="1" applyBorder="1" applyAlignment="1">
      <alignment horizontal="left"/>
    </xf>
    <xf numFmtId="0" fontId="0" fillId="0" borderId="39" xfId="0" applyBorder="1"/>
    <xf numFmtId="0" fontId="0" fillId="0" borderId="30" xfId="0" applyBorder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18" xfId="0" applyFont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10" fillId="0" borderId="20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0" fillId="0" borderId="22" xfId="0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10" fillId="0" borderId="27" xfId="0" applyFont="1" applyBorder="1" applyAlignment="1">
      <alignment horizontal="left" vertical="center"/>
    </xf>
    <xf numFmtId="0" fontId="0" fillId="0" borderId="39" xfId="0" applyBorder="1" applyAlignment="1">
      <alignment vertical="center"/>
    </xf>
    <xf numFmtId="0" fontId="0" fillId="0" borderId="30" xfId="0" applyBorder="1" applyAlignment="1">
      <alignment vertical="center"/>
    </xf>
    <xf numFmtId="0" fontId="10" fillId="0" borderId="16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11" xfId="0" applyFont="1" applyBorder="1" applyAlignment="1">
      <alignment horizontal="right" vertical="center"/>
    </xf>
    <xf numFmtId="0" fontId="1" fillId="0" borderId="51" xfId="0" applyFont="1" applyBorder="1" applyAlignment="1">
      <alignment horizontal="right" vertical="center"/>
    </xf>
    <xf numFmtId="2" fontId="1" fillId="0" borderId="50" xfId="0" applyNumberFormat="1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2" fontId="1" fillId="0" borderId="53" xfId="0" applyNumberFormat="1" applyFont="1" applyBorder="1" applyAlignment="1">
      <alignment horizontal="center" vertical="center"/>
    </xf>
    <xf numFmtId="2" fontId="1" fillId="0" borderId="54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0" fontId="17" fillId="0" borderId="39" xfId="0" applyFont="1" applyBorder="1" applyAlignment="1">
      <alignment horizontal="center"/>
    </xf>
    <xf numFmtId="0" fontId="12" fillId="0" borderId="45" xfId="0" applyFont="1" applyBorder="1" applyAlignment="1">
      <alignment horizontal="center" vertical="center"/>
    </xf>
    <xf numFmtId="0" fontId="19" fillId="0" borderId="7" xfId="0" applyFont="1" applyBorder="1" applyAlignment="1">
      <alignment horizontal="justify" vertical="center" wrapText="1"/>
    </xf>
    <xf numFmtId="0" fontId="19" fillId="0" borderId="13" xfId="0" applyFont="1" applyBorder="1" applyAlignment="1">
      <alignment horizontal="justify" vertical="center" wrapText="1"/>
    </xf>
    <xf numFmtId="0" fontId="19" fillId="0" borderId="19" xfId="0" applyFont="1" applyBorder="1" applyAlignment="1">
      <alignment horizontal="justify" vertical="center" wrapText="1"/>
    </xf>
    <xf numFmtId="0" fontId="0" fillId="2" borderId="3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1" fontId="0" fillId="0" borderId="32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19" fillId="0" borderId="35" xfId="0" applyFont="1" applyBorder="1" applyAlignment="1">
      <alignment horizontal="justify" vertical="center" wrapText="1"/>
    </xf>
    <xf numFmtId="0" fontId="19" fillId="0" borderId="22" xfId="0" applyFont="1" applyBorder="1" applyAlignment="1">
      <alignment horizontal="justify" vertical="center" wrapText="1"/>
    </xf>
    <xf numFmtId="0" fontId="19" fillId="0" borderId="44" xfId="0" applyFont="1" applyBorder="1" applyAlignment="1">
      <alignment horizontal="justify" vertical="center" wrapText="1"/>
    </xf>
    <xf numFmtId="0" fontId="0" fillId="2" borderId="21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" fontId="0" fillId="0" borderId="24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9" fillId="0" borderId="31" xfId="0" applyFont="1" applyBorder="1" applyAlignment="1">
      <alignment horizontal="justify" vertical="center"/>
    </xf>
    <xf numFmtId="0" fontId="19" fillId="0" borderId="39" xfId="0" applyFont="1" applyBorder="1" applyAlignment="1">
      <alignment horizontal="justify" vertical="center"/>
    </xf>
    <xf numFmtId="0" fontId="19" fillId="0" borderId="38" xfId="0" applyFont="1" applyBorder="1" applyAlignment="1">
      <alignment horizontal="justify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0" borderId="26" xfId="0" applyFont="1" applyBorder="1" applyAlignment="1">
      <alignment horizontal="left" vertical="center"/>
    </xf>
    <xf numFmtId="0" fontId="15" fillId="0" borderId="39" xfId="0" applyFont="1" applyBorder="1" applyAlignment="1">
      <alignment horizontal="left" vertical="center"/>
    </xf>
    <xf numFmtId="0" fontId="15" fillId="0" borderId="38" xfId="0" applyFont="1" applyBorder="1" applyAlignment="1">
      <alignment horizontal="left" vertical="center"/>
    </xf>
    <xf numFmtId="165" fontId="6" fillId="2" borderId="5" xfId="0" applyNumberFormat="1" applyFont="1" applyFill="1" applyBorder="1" applyAlignment="1">
      <alignment horizontal="center" vertical="center"/>
    </xf>
    <xf numFmtId="165" fontId="6" fillId="2" borderId="6" xfId="0" applyNumberFormat="1" applyFont="1" applyFill="1" applyBorder="1" applyAlignment="1">
      <alignment horizontal="center" vertical="center"/>
    </xf>
    <xf numFmtId="165" fontId="6" fillId="2" borderId="4" xfId="0" applyNumberFormat="1" applyFont="1" applyFill="1" applyBorder="1" applyAlignment="1">
      <alignment horizontal="center" vertical="center"/>
    </xf>
    <xf numFmtId="165" fontId="6" fillId="2" borderId="14" xfId="0" applyNumberFormat="1" applyFont="1" applyFill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38" xfId="0" applyNumberFormat="1" applyBorder="1" applyAlignment="1">
      <alignment horizontal="center" vertical="center"/>
    </xf>
    <xf numFmtId="0" fontId="15" fillId="0" borderId="33" xfId="0" applyFont="1" applyBorder="1" applyAlignment="1">
      <alignment horizontal="left" vertical="center"/>
    </xf>
    <xf numFmtId="0" fontId="15" fillId="0" borderId="22" xfId="0" applyFont="1" applyBorder="1" applyAlignment="1">
      <alignment horizontal="left" vertical="center"/>
    </xf>
    <xf numFmtId="0" fontId="15" fillId="0" borderId="44" xfId="0" applyFont="1" applyBorder="1" applyAlignment="1">
      <alignment horizontal="left" vertical="center"/>
    </xf>
    <xf numFmtId="165" fontId="6" fillId="2" borderId="22" xfId="0" applyNumberFormat="1" applyFont="1" applyFill="1" applyBorder="1" applyAlignment="1">
      <alignment horizontal="center" vertical="center"/>
    </xf>
    <xf numFmtId="165" fontId="6" fillId="2" borderId="44" xfId="0" applyNumberFormat="1" applyFont="1" applyFill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2" fontId="0" fillId="0" borderId="44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165" fontId="1" fillId="2" borderId="33" xfId="0" applyNumberFormat="1" applyFont="1" applyFill="1" applyBorder="1" applyAlignment="1">
      <alignment horizontal="center" vertical="center"/>
    </xf>
    <xf numFmtId="165" fontId="1" fillId="2" borderId="22" xfId="0" applyNumberFormat="1" applyFont="1" applyFill="1" applyBorder="1" applyAlignment="1">
      <alignment horizontal="center" vertical="center"/>
    </xf>
    <xf numFmtId="165" fontId="1" fillId="2" borderId="44" xfId="0" applyNumberFormat="1" applyFont="1" applyFill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44" xfId="0" applyNumberFormat="1" applyFont="1" applyBorder="1" applyAlignment="1">
      <alignment horizontal="center" vertical="center"/>
    </xf>
    <xf numFmtId="1" fontId="1" fillId="0" borderId="22" xfId="0" applyNumberFormat="1" applyFont="1" applyBorder="1" applyAlignment="1">
      <alignment horizontal="center" vertical="center"/>
    </xf>
    <xf numFmtId="0" fontId="15" fillId="0" borderId="18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0" fontId="15" fillId="0" borderId="19" xfId="0" applyFont="1" applyBorder="1" applyAlignment="1">
      <alignment horizontal="left" vertical="center"/>
    </xf>
    <xf numFmtId="165" fontId="6" fillId="2" borderId="8" xfId="0" applyNumberFormat="1" applyFont="1" applyFill="1" applyBorder="1" applyAlignment="1">
      <alignment horizontal="center" vertical="center"/>
    </xf>
    <xf numFmtId="165" fontId="6" fillId="2" borderId="15" xfId="0" applyNumberFormat="1" applyFont="1" applyFill="1" applyBorder="1" applyAlignment="1">
      <alignment horizontal="center" vertical="center"/>
    </xf>
    <xf numFmtId="165" fontId="6" fillId="2" borderId="7" xfId="0" applyNumberFormat="1" applyFont="1" applyFill="1" applyBorder="1" applyAlignment="1">
      <alignment horizontal="center" vertical="center"/>
    </xf>
    <xf numFmtId="165" fontId="6" fillId="2" borderId="17" xfId="0" applyNumberFormat="1" applyFont="1" applyFill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1" fontId="1" fillId="5" borderId="40" xfId="0" applyNumberFormat="1" applyFont="1" applyFill="1" applyBorder="1" applyAlignment="1">
      <alignment horizontal="center" vertical="center" wrapText="1"/>
    </xf>
    <xf numFmtId="1" fontId="1" fillId="5" borderId="46" xfId="0" applyNumberFormat="1" applyFont="1" applyFill="1" applyBorder="1" applyAlignment="1">
      <alignment horizontal="center" vertical="center" wrapText="1"/>
    </xf>
    <xf numFmtId="1" fontId="1" fillId="5" borderId="41" xfId="0" applyNumberFormat="1" applyFont="1" applyFill="1" applyBorder="1" applyAlignment="1">
      <alignment horizontal="center" vertical="center" wrapText="1"/>
    </xf>
    <xf numFmtId="1" fontId="1" fillId="5" borderId="20" xfId="0" applyNumberFormat="1" applyFont="1" applyFill="1" applyBorder="1" applyAlignment="1">
      <alignment horizontal="center" vertical="center" wrapText="1"/>
    </xf>
    <xf numFmtId="1" fontId="1" fillId="5" borderId="0" xfId="0" applyNumberFormat="1" applyFont="1" applyFill="1" applyAlignment="1">
      <alignment horizontal="center" vertical="center" wrapText="1"/>
    </xf>
    <xf numFmtId="1" fontId="1" fillId="5" borderId="47" xfId="0" applyNumberFormat="1" applyFont="1" applyFill="1" applyBorder="1" applyAlignment="1">
      <alignment horizontal="center" vertical="center" wrapText="1"/>
    </xf>
    <xf numFmtId="1" fontId="1" fillId="5" borderId="36" xfId="0" applyNumberFormat="1" applyFont="1" applyFill="1" applyBorder="1" applyAlignment="1">
      <alignment horizontal="center" vertical="center" wrapText="1"/>
    </xf>
    <xf numFmtId="1" fontId="1" fillId="5" borderId="9" xfId="0" applyNumberFormat="1" applyFont="1" applyFill="1" applyBorder="1" applyAlignment="1">
      <alignment horizontal="center" vertical="center" wrapText="1"/>
    </xf>
    <xf numFmtId="1" fontId="1" fillId="5" borderId="37" xfId="0" applyNumberFormat="1" applyFont="1" applyFill="1" applyBorder="1" applyAlignment="1">
      <alignment horizontal="center" vertical="center" wrapText="1"/>
    </xf>
    <xf numFmtId="0" fontId="15" fillId="0" borderId="36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165" fontId="6" fillId="2" borderId="30" xfId="0" applyNumberFormat="1" applyFont="1" applyFill="1" applyBorder="1" applyAlignment="1">
      <alignment horizontal="center" vertical="center"/>
    </xf>
    <xf numFmtId="165" fontId="6" fillId="2" borderId="28" xfId="0" applyNumberFormat="1" applyFont="1" applyFill="1" applyBorder="1" applyAlignment="1">
      <alignment horizontal="center" vertical="center"/>
    </xf>
    <xf numFmtId="165" fontId="6" fillId="2" borderId="31" xfId="0" applyNumberFormat="1" applyFont="1" applyFill="1" applyBorder="1" applyAlignment="1">
      <alignment horizontal="center" vertical="center"/>
    </xf>
    <xf numFmtId="165" fontId="6" fillId="2" borderId="29" xfId="0" applyNumberFormat="1" applyFont="1" applyFill="1" applyBorder="1" applyAlignment="1">
      <alignment horizontal="center" vertical="center"/>
    </xf>
    <xf numFmtId="165" fontId="6" fillId="2" borderId="34" xfId="0" applyNumberFormat="1" applyFont="1" applyFill="1" applyBorder="1" applyAlignment="1">
      <alignment horizontal="center" vertical="center"/>
    </xf>
    <xf numFmtId="165" fontId="6" fillId="2" borderId="23" xfId="0" applyNumberFormat="1" applyFont="1" applyFill="1" applyBorder="1" applyAlignment="1">
      <alignment horizontal="center" vertical="center"/>
    </xf>
    <xf numFmtId="165" fontId="6" fillId="2" borderId="35" xfId="0" applyNumberFormat="1" applyFont="1" applyFill="1" applyBorder="1" applyAlignment="1">
      <alignment horizontal="center" vertical="center"/>
    </xf>
    <xf numFmtId="165" fontId="6" fillId="2" borderId="2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5" fontId="6" fillId="2" borderId="32" xfId="0" applyNumberFormat="1" applyFont="1" applyFill="1" applyBorder="1" applyAlignment="1">
      <alignment horizontal="center" vertical="center"/>
    </xf>
    <xf numFmtId="165" fontId="6" fillId="2" borderId="21" xfId="0" applyNumberFormat="1" applyFont="1" applyFill="1" applyBorder="1" applyAlignment="1">
      <alignment horizontal="center" vertical="center"/>
    </xf>
    <xf numFmtId="165" fontId="6" fillId="2" borderId="27" xfId="0" applyNumberFormat="1" applyFont="1" applyFill="1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0" fillId="0" borderId="38" xfId="0" applyNumberFormat="1" applyBorder="1" applyAlignment="1">
      <alignment horizontal="center" vertical="center"/>
    </xf>
    <xf numFmtId="165" fontId="6" fillId="2" borderId="48" xfId="0" applyNumberFormat="1" applyFont="1" applyFill="1" applyBorder="1" applyAlignment="1">
      <alignment horizontal="center" vertical="center"/>
    </xf>
    <xf numFmtId="165" fontId="6" fillId="2" borderId="45" xfId="0" applyNumberFormat="1" applyFont="1" applyFill="1" applyBorder="1" applyAlignment="1">
      <alignment horizontal="center" vertical="center"/>
    </xf>
    <xf numFmtId="165" fontId="6" fillId="2" borderId="49" xfId="0" applyNumberFormat="1" applyFont="1" applyFill="1" applyBorder="1" applyAlignment="1">
      <alignment horizontal="center" vertical="center"/>
    </xf>
    <xf numFmtId="165" fontId="6" fillId="2" borderId="20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165" fontId="6" fillId="2" borderId="47" xfId="0" applyNumberFormat="1" applyFont="1" applyFill="1" applyBorder="1" applyAlignment="1">
      <alignment horizontal="center" vertical="center"/>
    </xf>
    <xf numFmtId="165" fontId="6" fillId="2" borderId="42" xfId="0" applyNumberFormat="1" applyFont="1" applyFill="1" applyBorder="1" applyAlignment="1">
      <alignment horizontal="center" vertical="center"/>
    </xf>
    <xf numFmtId="165" fontId="6" fillId="2" borderId="25" xfId="0" applyNumberFormat="1" applyFont="1" applyFill="1" applyBorder="1" applyAlignment="1">
      <alignment horizontal="center" vertical="center"/>
    </xf>
    <xf numFmtId="165" fontId="6" fillId="2" borderId="43" xfId="0" applyNumberFormat="1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166" fontId="6" fillId="3" borderId="15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17" xfId="0" applyNumberFormat="1" applyFont="1" applyFill="1" applyBorder="1" applyAlignment="1">
      <alignment horizontal="center" vertical="center"/>
    </xf>
    <xf numFmtId="1" fontId="0" fillId="3" borderId="18" xfId="0" applyNumberFormat="1" applyFill="1" applyBorder="1" applyAlignment="1">
      <alignment horizontal="center" vertical="center"/>
    </xf>
    <xf numFmtId="1" fontId="0" fillId="3" borderId="19" xfId="0" applyNumberForma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" fillId="0" borderId="2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1" fillId="0" borderId="0" xfId="0" applyFont="1" applyAlignment="1">
      <alignment horizontal="right" vertical="center"/>
    </xf>
    <xf numFmtId="0" fontId="12" fillId="0" borderId="13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1" fillId="2" borderId="10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0" fillId="0" borderId="7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1" fillId="0" borderId="0" xfId="0" applyFont="1" applyAlignment="1">
      <alignment horizontal="right"/>
    </xf>
    <xf numFmtId="0" fontId="12" fillId="0" borderId="13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left"/>
    </xf>
    <xf numFmtId="2" fontId="0" fillId="0" borderId="33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44" xfId="0" applyNumberFormat="1" applyBorder="1" applyAlignment="1">
      <alignment horizontal="center"/>
    </xf>
    <xf numFmtId="165" fontId="1" fillId="2" borderId="48" xfId="0" applyNumberFormat="1" applyFont="1" applyFill="1" applyBorder="1" applyAlignment="1">
      <alignment horizontal="center"/>
    </xf>
    <xf numFmtId="165" fontId="1" fillId="2" borderId="45" xfId="0" applyNumberFormat="1" applyFont="1" applyFill="1" applyBorder="1" applyAlignment="1">
      <alignment horizontal="center"/>
    </xf>
    <xf numFmtId="165" fontId="1" fillId="2" borderId="49" xfId="0" applyNumberFormat="1" applyFont="1" applyFill="1" applyBorder="1" applyAlignment="1">
      <alignment horizontal="center"/>
    </xf>
    <xf numFmtId="1" fontId="1" fillId="0" borderId="48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1" fontId="1" fillId="0" borderId="45" xfId="0" applyNumberFormat="1" applyFont="1" applyBorder="1" applyAlignment="1">
      <alignment horizontal="center"/>
    </xf>
    <xf numFmtId="0" fontId="16" fillId="0" borderId="2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/>
    </xf>
    <xf numFmtId="0" fontId="1" fillId="3" borderId="46" xfId="0" applyFont="1" applyFill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2" fontId="1" fillId="0" borderId="52" xfId="0" applyNumberFormat="1" applyFont="1" applyBorder="1" applyAlignment="1">
      <alignment horizontal="center" vertical="center"/>
    </xf>
    <xf numFmtId="2" fontId="1" fillId="0" borderId="25" xfId="0" applyNumberFormat="1" applyFont="1" applyBorder="1" applyAlignment="1">
      <alignment horizontal="center" vertical="center"/>
    </xf>
    <xf numFmtId="2" fontId="1" fillId="0" borderId="43" xfId="0" applyNumberFormat="1" applyFont="1" applyBorder="1" applyAlignment="1">
      <alignment horizontal="center" vertical="center"/>
    </xf>
    <xf numFmtId="0" fontId="18" fillId="0" borderId="39" xfId="0" applyFont="1" applyBorder="1" applyAlignment="1">
      <alignment horizontal="center"/>
    </xf>
    <xf numFmtId="1" fontId="1" fillId="2" borderId="35" xfId="0" applyNumberFormat="1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37930</xdr:colOff>
      <xdr:row>0</xdr:row>
      <xdr:rowOff>75854</xdr:rowOff>
    </xdr:from>
    <xdr:to>
      <xdr:col>2</xdr:col>
      <xdr:colOff>149088</xdr:colOff>
      <xdr:row>2</xdr:row>
      <xdr:rowOff>62933</xdr:rowOff>
    </xdr:to>
    <xdr:pic>
      <xdr:nvPicPr>
        <xdr:cNvPr id="2" name="Imagen 12" descr="LogotipoedOMEX">
          <a:extLst>
            <a:ext uri="{FF2B5EF4-FFF2-40B4-BE49-F238E27FC236}">
              <a16:creationId xmlns:a16="http://schemas.microsoft.com/office/drawing/2014/main" id="{58779881-7B17-4F83-AF85-CAF2E388D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59"/>
        <a:stretch>
          <a:fillRect/>
        </a:stretch>
      </xdr:blipFill>
      <xdr:spPr bwMode="auto">
        <a:xfrm>
          <a:off x="37930" y="75854"/>
          <a:ext cx="1419810" cy="616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31172</xdr:colOff>
      <xdr:row>0</xdr:row>
      <xdr:rowOff>105121</xdr:rowOff>
    </xdr:from>
    <xdr:to>
      <xdr:col>28</xdr:col>
      <xdr:colOff>105467</xdr:colOff>
      <xdr:row>2</xdr:row>
      <xdr:rowOff>120361</xdr:rowOff>
    </xdr:to>
    <xdr:pic>
      <xdr:nvPicPr>
        <xdr:cNvPr id="3" name="Imagen 13">
          <a:extLst>
            <a:ext uri="{FF2B5EF4-FFF2-40B4-BE49-F238E27FC236}">
              <a16:creationId xmlns:a16="http://schemas.microsoft.com/office/drawing/2014/main" id="{6537533C-87AD-448D-8CDE-8CE6D07F6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0522" y="105121"/>
          <a:ext cx="807720" cy="643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556460</xdr:colOff>
      <xdr:row>55</xdr:row>
      <xdr:rowOff>297607</xdr:rowOff>
    </xdr:from>
    <xdr:to>
      <xdr:col>29</xdr:col>
      <xdr:colOff>197039</xdr:colOff>
      <xdr:row>57</xdr:row>
      <xdr:rowOff>304386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C087723F-0743-4DF2-BB36-EC4FB6E44F74}"/>
            </a:ext>
          </a:extLst>
        </xdr:cNvPr>
        <xdr:cNvSpPr txBox="1"/>
      </xdr:nvSpPr>
      <xdr:spPr>
        <a:xfrm>
          <a:off x="6065921" y="12424436"/>
          <a:ext cx="1284894" cy="6735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Código:</a:t>
          </a:r>
          <a:r>
            <a:rPr lang="es-MX" sz="1100" baseline="0"/>
            <a:t> FO-EST-03</a:t>
          </a:r>
        </a:p>
        <a:p>
          <a:r>
            <a:rPr lang="es-MX" sz="1100"/>
            <a:t>Edición:</a:t>
          </a:r>
          <a:r>
            <a:rPr lang="es-MX" sz="1100" baseline="0"/>
            <a:t>      06</a:t>
          </a:r>
        </a:p>
        <a:p>
          <a:r>
            <a:rPr lang="es-MX" sz="1100" baseline="0"/>
            <a:t>Fecha: 31/08/22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37929</xdr:colOff>
      <xdr:row>0</xdr:row>
      <xdr:rowOff>75854</xdr:rowOff>
    </xdr:from>
    <xdr:to>
      <xdr:col>2</xdr:col>
      <xdr:colOff>209550</xdr:colOff>
      <xdr:row>2</xdr:row>
      <xdr:rowOff>89189</xdr:rowOff>
    </xdr:to>
    <xdr:pic>
      <xdr:nvPicPr>
        <xdr:cNvPr id="2" name="Imagen 12" descr="LogotipoedOMEX">
          <a:extLst>
            <a:ext uri="{FF2B5EF4-FFF2-40B4-BE49-F238E27FC236}">
              <a16:creationId xmlns:a16="http://schemas.microsoft.com/office/drawing/2014/main" id="{A732CA9C-6CE5-4E1E-8199-3163E3B1E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59"/>
        <a:stretch>
          <a:fillRect/>
        </a:stretch>
      </xdr:blipFill>
      <xdr:spPr bwMode="auto">
        <a:xfrm>
          <a:off x="37929" y="75854"/>
          <a:ext cx="1476546" cy="641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31172</xdr:colOff>
      <xdr:row>0</xdr:row>
      <xdr:rowOff>105121</xdr:rowOff>
    </xdr:from>
    <xdr:to>
      <xdr:col>28</xdr:col>
      <xdr:colOff>105467</xdr:colOff>
      <xdr:row>2</xdr:row>
      <xdr:rowOff>120361</xdr:rowOff>
    </xdr:to>
    <xdr:pic>
      <xdr:nvPicPr>
        <xdr:cNvPr id="3" name="Imagen 13">
          <a:extLst>
            <a:ext uri="{FF2B5EF4-FFF2-40B4-BE49-F238E27FC236}">
              <a16:creationId xmlns:a16="http://schemas.microsoft.com/office/drawing/2014/main" id="{A2D8D101-B872-458B-9356-F79A9EA19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0522" y="105121"/>
          <a:ext cx="807720" cy="643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409402</xdr:colOff>
      <xdr:row>54</xdr:row>
      <xdr:rowOff>304800</xdr:rowOff>
    </xdr:from>
    <xdr:to>
      <xdr:col>29</xdr:col>
      <xdr:colOff>103218</xdr:colOff>
      <xdr:row>56</xdr:row>
      <xdr:rowOff>308090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014EE85-AF63-4101-9B3E-7D35DE7E3E2A}"/>
            </a:ext>
          </a:extLst>
        </xdr:cNvPr>
        <xdr:cNvSpPr txBox="1"/>
      </xdr:nvSpPr>
      <xdr:spPr>
        <a:xfrm>
          <a:off x="5933902" y="12496800"/>
          <a:ext cx="1332116" cy="6700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Código:</a:t>
          </a:r>
          <a:r>
            <a:rPr lang="es-MX" sz="1100" baseline="0"/>
            <a:t> FO-EST-03</a:t>
          </a:r>
        </a:p>
        <a:p>
          <a:r>
            <a:rPr lang="es-MX" sz="1100"/>
            <a:t>Edición:</a:t>
          </a:r>
          <a:r>
            <a:rPr lang="es-MX" sz="1100" baseline="0"/>
            <a:t>      06</a:t>
          </a:r>
        </a:p>
        <a:p>
          <a:r>
            <a:rPr lang="es-MX" sz="1100" baseline="0"/>
            <a:t>Fecha: 31/08/22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37929</xdr:colOff>
      <xdr:row>0</xdr:row>
      <xdr:rowOff>75854</xdr:rowOff>
    </xdr:from>
    <xdr:to>
      <xdr:col>2</xdr:col>
      <xdr:colOff>209550</xdr:colOff>
      <xdr:row>2</xdr:row>
      <xdr:rowOff>89189</xdr:rowOff>
    </xdr:to>
    <xdr:pic>
      <xdr:nvPicPr>
        <xdr:cNvPr id="2" name="Imagen 12" descr="LogotipoedOMEX">
          <a:extLst>
            <a:ext uri="{FF2B5EF4-FFF2-40B4-BE49-F238E27FC236}">
              <a16:creationId xmlns:a16="http://schemas.microsoft.com/office/drawing/2014/main" id="{E54AAF32-0784-415C-B13F-C60F39552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59"/>
        <a:stretch>
          <a:fillRect/>
        </a:stretch>
      </xdr:blipFill>
      <xdr:spPr bwMode="auto">
        <a:xfrm>
          <a:off x="37929" y="75854"/>
          <a:ext cx="1476546" cy="641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31172</xdr:colOff>
      <xdr:row>0</xdr:row>
      <xdr:rowOff>105121</xdr:rowOff>
    </xdr:from>
    <xdr:to>
      <xdr:col>28</xdr:col>
      <xdr:colOff>105467</xdr:colOff>
      <xdr:row>2</xdr:row>
      <xdr:rowOff>120361</xdr:rowOff>
    </xdr:to>
    <xdr:pic>
      <xdr:nvPicPr>
        <xdr:cNvPr id="3" name="Imagen 13">
          <a:extLst>
            <a:ext uri="{FF2B5EF4-FFF2-40B4-BE49-F238E27FC236}">
              <a16:creationId xmlns:a16="http://schemas.microsoft.com/office/drawing/2014/main" id="{42E8BC41-364C-4084-9D82-50A71A0BC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0522" y="105121"/>
          <a:ext cx="807720" cy="643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409402</xdr:colOff>
      <xdr:row>54</xdr:row>
      <xdr:rowOff>304800</xdr:rowOff>
    </xdr:from>
    <xdr:to>
      <xdr:col>29</xdr:col>
      <xdr:colOff>103218</xdr:colOff>
      <xdr:row>56</xdr:row>
      <xdr:rowOff>308090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A3DD33A-A3C0-4DAB-A0A1-F45C4F17DE30}"/>
            </a:ext>
          </a:extLst>
        </xdr:cNvPr>
        <xdr:cNvSpPr txBox="1"/>
      </xdr:nvSpPr>
      <xdr:spPr>
        <a:xfrm>
          <a:off x="5933902" y="12163425"/>
          <a:ext cx="1332116" cy="6700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Código:</a:t>
          </a:r>
          <a:r>
            <a:rPr lang="es-MX" sz="1100" baseline="0"/>
            <a:t> FO-EST-03</a:t>
          </a:r>
        </a:p>
        <a:p>
          <a:r>
            <a:rPr lang="es-MX" sz="1100"/>
            <a:t>Edición:</a:t>
          </a:r>
          <a:r>
            <a:rPr lang="es-MX" sz="1100" baseline="0"/>
            <a:t>      06</a:t>
          </a:r>
        </a:p>
        <a:p>
          <a:r>
            <a:rPr lang="es-MX" sz="1100" baseline="0"/>
            <a:t>Fecha: 31/08/22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37929</xdr:colOff>
      <xdr:row>0</xdr:row>
      <xdr:rowOff>75854</xdr:rowOff>
    </xdr:from>
    <xdr:to>
      <xdr:col>2</xdr:col>
      <xdr:colOff>209550</xdr:colOff>
      <xdr:row>2</xdr:row>
      <xdr:rowOff>89189</xdr:rowOff>
    </xdr:to>
    <xdr:pic>
      <xdr:nvPicPr>
        <xdr:cNvPr id="2" name="Imagen 12" descr="LogotipoedOMEX">
          <a:extLst>
            <a:ext uri="{FF2B5EF4-FFF2-40B4-BE49-F238E27FC236}">
              <a16:creationId xmlns:a16="http://schemas.microsoft.com/office/drawing/2014/main" id="{E4844BA5-C16E-4539-9C56-EC35E055F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59"/>
        <a:stretch>
          <a:fillRect/>
        </a:stretch>
      </xdr:blipFill>
      <xdr:spPr bwMode="auto">
        <a:xfrm>
          <a:off x="37929" y="75854"/>
          <a:ext cx="1476546" cy="641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31172</xdr:colOff>
      <xdr:row>0</xdr:row>
      <xdr:rowOff>105121</xdr:rowOff>
    </xdr:from>
    <xdr:to>
      <xdr:col>28</xdr:col>
      <xdr:colOff>105467</xdr:colOff>
      <xdr:row>2</xdr:row>
      <xdr:rowOff>120361</xdr:rowOff>
    </xdr:to>
    <xdr:pic>
      <xdr:nvPicPr>
        <xdr:cNvPr id="3" name="Imagen 13">
          <a:extLst>
            <a:ext uri="{FF2B5EF4-FFF2-40B4-BE49-F238E27FC236}">
              <a16:creationId xmlns:a16="http://schemas.microsoft.com/office/drawing/2014/main" id="{4B6D553A-6A89-4A39-BDAC-0609BD2A6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0522" y="105121"/>
          <a:ext cx="807720" cy="643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409402</xdr:colOff>
      <xdr:row>54</xdr:row>
      <xdr:rowOff>304800</xdr:rowOff>
    </xdr:from>
    <xdr:to>
      <xdr:col>29</xdr:col>
      <xdr:colOff>103218</xdr:colOff>
      <xdr:row>56</xdr:row>
      <xdr:rowOff>308090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8ACB6E2-501B-449B-A388-2A62C74A09AD}"/>
            </a:ext>
          </a:extLst>
        </xdr:cNvPr>
        <xdr:cNvSpPr txBox="1"/>
      </xdr:nvSpPr>
      <xdr:spPr>
        <a:xfrm>
          <a:off x="5933902" y="12287250"/>
          <a:ext cx="1332116" cy="6700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Código:</a:t>
          </a:r>
          <a:r>
            <a:rPr lang="es-MX" sz="1100" baseline="0"/>
            <a:t> FO-EST-03</a:t>
          </a:r>
        </a:p>
        <a:p>
          <a:r>
            <a:rPr lang="es-MX" sz="1100"/>
            <a:t>Edición:</a:t>
          </a:r>
          <a:r>
            <a:rPr lang="es-MX" sz="1100" baseline="0"/>
            <a:t>      06</a:t>
          </a:r>
        </a:p>
        <a:p>
          <a:r>
            <a:rPr lang="es-MX" sz="1100" baseline="0"/>
            <a:t>Fecha: 31/08/22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37929</xdr:colOff>
      <xdr:row>0</xdr:row>
      <xdr:rowOff>75854</xdr:rowOff>
    </xdr:from>
    <xdr:to>
      <xdr:col>2</xdr:col>
      <xdr:colOff>209550</xdr:colOff>
      <xdr:row>2</xdr:row>
      <xdr:rowOff>89189</xdr:rowOff>
    </xdr:to>
    <xdr:pic>
      <xdr:nvPicPr>
        <xdr:cNvPr id="2" name="Imagen 12" descr="LogotipoedOMEX">
          <a:extLst>
            <a:ext uri="{FF2B5EF4-FFF2-40B4-BE49-F238E27FC236}">
              <a16:creationId xmlns:a16="http://schemas.microsoft.com/office/drawing/2014/main" id="{9FDBA8BC-68C4-4F79-8D78-CD4D888F7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59"/>
        <a:stretch>
          <a:fillRect/>
        </a:stretch>
      </xdr:blipFill>
      <xdr:spPr bwMode="auto">
        <a:xfrm>
          <a:off x="37929" y="75854"/>
          <a:ext cx="1476546" cy="641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31172</xdr:colOff>
      <xdr:row>0</xdr:row>
      <xdr:rowOff>105121</xdr:rowOff>
    </xdr:from>
    <xdr:to>
      <xdr:col>28</xdr:col>
      <xdr:colOff>105467</xdr:colOff>
      <xdr:row>2</xdr:row>
      <xdr:rowOff>120361</xdr:rowOff>
    </xdr:to>
    <xdr:pic>
      <xdr:nvPicPr>
        <xdr:cNvPr id="3" name="Imagen 13">
          <a:extLst>
            <a:ext uri="{FF2B5EF4-FFF2-40B4-BE49-F238E27FC236}">
              <a16:creationId xmlns:a16="http://schemas.microsoft.com/office/drawing/2014/main" id="{27E6F953-DCFA-4842-87AD-20EC14D51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0522" y="105121"/>
          <a:ext cx="807720" cy="643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409402</xdr:colOff>
      <xdr:row>54</xdr:row>
      <xdr:rowOff>304800</xdr:rowOff>
    </xdr:from>
    <xdr:to>
      <xdr:col>29</xdr:col>
      <xdr:colOff>103218</xdr:colOff>
      <xdr:row>56</xdr:row>
      <xdr:rowOff>308090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307A694-8D4E-4F0C-B9A6-B13ADDF87610}"/>
            </a:ext>
          </a:extLst>
        </xdr:cNvPr>
        <xdr:cNvSpPr txBox="1"/>
      </xdr:nvSpPr>
      <xdr:spPr>
        <a:xfrm>
          <a:off x="5933902" y="12287250"/>
          <a:ext cx="1332116" cy="6700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Código:</a:t>
          </a:r>
          <a:r>
            <a:rPr lang="es-MX" sz="1100" baseline="0"/>
            <a:t> FO-EST-03</a:t>
          </a:r>
        </a:p>
        <a:p>
          <a:r>
            <a:rPr lang="es-MX" sz="1100"/>
            <a:t>Edición:</a:t>
          </a:r>
          <a:r>
            <a:rPr lang="es-MX" sz="1100" baseline="0"/>
            <a:t>      06</a:t>
          </a:r>
        </a:p>
        <a:p>
          <a:r>
            <a:rPr lang="es-MX" sz="1100" baseline="0"/>
            <a:t>Fecha: 31/08/22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94BAE-F348-403F-99E8-E4B97763FC7D}">
  <sheetPr>
    <pageSetUpPr fitToPage="1"/>
  </sheetPr>
  <dimension ref="A1:AD60"/>
  <sheetViews>
    <sheetView tabSelected="1" view="pageBreakPreview" zoomScaleNormal="100" zoomScaleSheetLayoutView="100" workbookViewId="0">
      <selection activeCell="C14" sqref="C14:U14"/>
    </sheetView>
  </sheetViews>
  <sheetFormatPr defaultColWidth="11.42578125" defaultRowHeight="15"/>
  <cols>
    <col min="1" max="1" width="2.7109375" customWidth="1"/>
    <col min="2" max="2" width="16.85546875" customWidth="1"/>
    <col min="3" max="3" width="4" customWidth="1"/>
    <col min="4" max="5" width="2.5703125" customWidth="1"/>
    <col min="6" max="6" width="3.7109375" customWidth="1"/>
    <col min="7" max="7" width="2.5703125" customWidth="1"/>
    <col min="8" max="8" width="2.28515625" customWidth="1"/>
    <col min="9" max="9" width="2.5703125" customWidth="1"/>
    <col min="10" max="10" width="3" customWidth="1"/>
    <col min="11" max="12" width="2.5703125" customWidth="1"/>
    <col min="13" max="13" width="2" customWidth="1"/>
    <col min="14" max="18" width="2.5703125" customWidth="1"/>
    <col min="19" max="20" width="1.7109375" customWidth="1"/>
    <col min="21" max="21" width="2.7109375" customWidth="1"/>
    <col min="22" max="22" width="1.85546875" customWidth="1"/>
    <col min="23" max="23" width="2.5703125" customWidth="1"/>
    <col min="24" max="24" width="5.5703125" customWidth="1"/>
    <col min="25" max="25" width="3.85546875" customWidth="1"/>
    <col min="26" max="26" width="10.5703125" customWidth="1"/>
    <col min="27" max="27" width="4.7109375" customWidth="1"/>
    <col min="28" max="28" width="6.28515625" customWidth="1"/>
    <col min="29" max="30" width="3" customWidth="1"/>
  </cols>
  <sheetData>
    <row r="1" spans="2:30" ht="31.5" customHeight="1"/>
    <row r="2" spans="2:30" ht="18.75">
      <c r="D2" s="1" t="s">
        <v>0</v>
      </c>
    </row>
    <row r="3" spans="2:30" ht="11.25" customHeight="1"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AB3" s="244"/>
      <c r="AC3" s="244"/>
      <c r="AD3" s="23"/>
    </row>
    <row r="4" spans="2:30">
      <c r="B4" s="3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2:30" ht="5.45" customHeight="1">
      <c r="G5" s="245" t="str">
        <f>IF(I10="Cuarto","X",IF(I10="Quinto","X",IF(I10="Sexto","X","")))</f>
        <v>X</v>
      </c>
      <c r="H5" s="246"/>
      <c r="P5" s="249" t="str">
        <f>IF(I10="Séptimo","X",IF(I10="Octavo","X",IF(I10="Noveno","X","")))</f>
        <v/>
      </c>
      <c r="Q5" s="250"/>
      <c r="X5" s="253" t="str">
        <f>IF(I10="Décimo","X","")</f>
        <v/>
      </c>
    </row>
    <row r="6" spans="2:30" ht="15" customHeight="1">
      <c r="C6" s="2" t="s">
        <v>2</v>
      </c>
      <c r="G6" s="247"/>
      <c r="H6" s="248"/>
      <c r="K6" s="2" t="s">
        <v>3</v>
      </c>
      <c r="P6" s="251"/>
      <c r="Q6" s="252"/>
      <c r="U6" s="2" t="s">
        <v>4</v>
      </c>
      <c r="X6" s="254"/>
      <c r="Y6" s="272" t="s">
        <v>5</v>
      </c>
      <c r="Z6" s="272"/>
      <c r="AA6" s="256"/>
      <c r="AB6" s="257"/>
    </row>
    <row r="7" spans="2:30" ht="9.6" customHeight="1" thickBot="1">
      <c r="G7" s="2"/>
      <c r="H7" s="2"/>
      <c r="L7" s="4"/>
      <c r="M7" s="4"/>
      <c r="U7" s="2"/>
      <c r="AA7" s="5"/>
      <c r="AB7" s="5"/>
    </row>
    <row r="8" spans="2:30" ht="16.5" customHeight="1" thickBot="1">
      <c r="G8" s="2"/>
      <c r="H8" s="2"/>
      <c r="U8" s="2"/>
      <c r="Z8" s="6" t="s">
        <v>6</v>
      </c>
      <c r="AA8" s="236"/>
      <c r="AB8" s="237"/>
    </row>
    <row r="9" spans="2:30" ht="14.25" customHeight="1" thickBot="1">
      <c r="B9" s="261" t="s">
        <v>7</v>
      </c>
      <c r="C9" s="261"/>
      <c r="D9" s="261"/>
      <c r="E9" s="261"/>
      <c r="F9" s="26"/>
      <c r="G9" s="26"/>
      <c r="H9" s="26"/>
      <c r="I9" s="239" t="s">
        <v>8</v>
      </c>
      <c r="J9" s="239"/>
      <c r="K9" s="239"/>
      <c r="L9" s="239"/>
      <c r="M9" s="239"/>
      <c r="N9" s="239"/>
      <c r="O9" s="239"/>
      <c r="P9" s="239"/>
      <c r="Q9" s="26"/>
      <c r="R9" s="26"/>
      <c r="S9" s="26"/>
      <c r="T9" s="26"/>
      <c r="U9" s="26"/>
      <c r="V9" s="26"/>
      <c r="W9" s="26"/>
      <c r="X9" s="7"/>
      <c r="Y9" s="265" t="s">
        <v>9</v>
      </c>
      <c r="Z9" s="266"/>
      <c r="AA9" s="266"/>
      <c r="AB9" s="266"/>
      <c r="AC9" s="267"/>
      <c r="AD9" s="7"/>
    </row>
    <row r="10" spans="2:30" ht="14.25" customHeight="1">
      <c r="B10" s="262" t="s">
        <v>10</v>
      </c>
      <c r="C10" s="263"/>
      <c r="D10" s="263"/>
      <c r="E10" s="264"/>
      <c r="F10" s="27"/>
      <c r="G10" s="27"/>
      <c r="H10" s="27"/>
      <c r="I10" s="243" t="s">
        <v>11</v>
      </c>
      <c r="J10" s="243"/>
      <c r="K10" s="243"/>
      <c r="L10" s="243"/>
      <c r="M10" s="243"/>
      <c r="N10" s="243"/>
      <c r="O10" s="243"/>
      <c r="P10" s="243"/>
      <c r="Q10" s="28"/>
      <c r="R10" s="28"/>
      <c r="S10" s="28"/>
      <c r="T10" s="28"/>
      <c r="U10" s="28"/>
      <c r="V10" s="28"/>
      <c r="W10" s="28"/>
      <c r="Y10" s="40" t="s">
        <v>12</v>
      </c>
      <c r="Z10" s="41"/>
      <c r="AA10" s="42"/>
      <c r="AB10" s="270">
        <v>10</v>
      </c>
      <c r="AC10" s="271"/>
      <c r="AD10" s="7"/>
    </row>
    <row r="11" spans="2:30" ht="14.25" customHeight="1">
      <c r="C11" s="2"/>
      <c r="D11" s="2"/>
      <c r="E11" s="2"/>
      <c r="F11" s="29"/>
      <c r="G11" s="29"/>
      <c r="H11" s="29"/>
      <c r="I11" s="29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Y11" s="9" t="s">
        <v>13</v>
      </c>
      <c r="AB11" s="270">
        <v>9</v>
      </c>
      <c r="AC11" s="271"/>
      <c r="AD11" s="30"/>
    </row>
    <row r="12" spans="2:30" ht="14.25" customHeight="1">
      <c r="B12" s="2" t="s">
        <v>14</v>
      </c>
      <c r="C12" s="229"/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Y12" s="10" t="s">
        <v>15</v>
      </c>
      <c r="Z12" s="11"/>
      <c r="AA12" s="11"/>
      <c r="AB12" s="273">
        <v>8</v>
      </c>
      <c r="AC12" s="274"/>
      <c r="AD12" s="30"/>
    </row>
    <row r="13" spans="2:30" ht="14.25" customHeight="1">
      <c r="B13" s="29" t="s">
        <v>16</v>
      </c>
      <c r="C13" s="22"/>
      <c r="D13" s="232"/>
      <c r="E13" s="232"/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Y13" s="12" t="s">
        <v>17</v>
      </c>
      <c r="AB13" s="270">
        <v>7</v>
      </c>
      <c r="AC13" s="271"/>
      <c r="AD13" s="30"/>
    </row>
    <row r="14" spans="2:30" ht="14.25" customHeight="1" thickBot="1">
      <c r="B14" s="22" t="s">
        <v>18</v>
      </c>
      <c r="C14" s="268" t="s">
        <v>19</v>
      </c>
      <c r="D14" s="269"/>
      <c r="E14" s="269"/>
      <c r="F14" s="269"/>
      <c r="G14" s="269"/>
      <c r="H14" s="269"/>
      <c r="I14" s="269"/>
      <c r="J14" s="269"/>
      <c r="K14" s="26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39"/>
      <c r="W14" s="39"/>
      <c r="Y14" s="13" t="s">
        <v>20</v>
      </c>
      <c r="Z14" s="14"/>
      <c r="AA14" s="14"/>
      <c r="AB14" s="278">
        <v>6</v>
      </c>
      <c r="AC14" s="279"/>
      <c r="AD14" s="30"/>
    </row>
    <row r="15" spans="2:30" ht="36.75" customHeight="1">
      <c r="B15" s="222" t="s">
        <v>21</v>
      </c>
      <c r="C15" s="222"/>
      <c r="D15" s="223"/>
      <c r="E15" s="223"/>
      <c r="F15" s="223"/>
      <c r="G15" s="223"/>
      <c r="H15" s="223"/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3"/>
      <c r="T15" s="223"/>
      <c r="U15" s="223"/>
      <c r="V15" s="223"/>
      <c r="W15" s="223"/>
      <c r="X15" s="223"/>
      <c r="Y15" s="223"/>
      <c r="Z15" s="223"/>
      <c r="AA15" s="223"/>
      <c r="AB15" s="223"/>
      <c r="AC15" s="223"/>
      <c r="AD15" s="31"/>
    </row>
    <row r="16" spans="2:30" ht="16.149999999999999" customHeight="1">
      <c r="B16" s="275" t="s">
        <v>22</v>
      </c>
      <c r="C16" s="275"/>
      <c r="D16" s="276"/>
      <c r="E16" s="276"/>
      <c r="F16" s="276"/>
      <c r="G16" s="276"/>
      <c r="H16" s="276"/>
      <c r="I16" s="276"/>
      <c r="J16" s="276"/>
      <c r="K16" s="276"/>
      <c r="L16" s="276"/>
      <c r="M16" s="276"/>
      <c r="N16" s="276"/>
      <c r="O16" s="276"/>
      <c r="P16" s="276"/>
      <c r="Q16" s="276"/>
      <c r="R16" s="276"/>
      <c r="S16" s="276"/>
      <c r="T16" s="276"/>
      <c r="U16" s="276"/>
      <c r="V16" s="276"/>
      <c r="W16" s="276"/>
      <c r="X16" s="276"/>
      <c r="Y16" s="276"/>
      <c r="Z16" s="276"/>
      <c r="AA16" s="276"/>
      <c r="AB16" s="276"/>
      <c r="AC16" s="276"/>
      <c r="AD16" s="32"/>
    </row>
    <row r="17" spans="2:30" ht="16.149999999999999" customHeight="1">
      <c r="B17" s="275" t="s">
        <v>23</v>
      </c>
      <c r="C17" s="275"/>
      <c r="D17" s="277"/>
      <c r="E17" s="277"/>
      <c r="F17" s="277"/>
      <c r="G17" s="277"/>
      <c r="H17" s="277"/>
      <c r="I17" s="277"/>
      <c r="J17" s="277"/>
      <c r="K17" s="277"/>
      <c r="L17" s="277"/>
      <c r="M17" s="277"/>
      <c r="N17" s="277"/>
      <c r="O17" s="277"/>
      <c r="P17" s="277"/>
      <c r="Q17" s="277"/>
      <c r="R17" s="277"/>
      <c r="S17" s="277"/>
      <c r="T17" s="277"/>
      <c r="U17" s="277"/>
      <c r="V17" s="277"/>
      <c r="W17" s="277"/>
      <c r="X17" s="277"/>
      <c r="Y17" s="15"/>
      <c r="Z17" s="15"/>
      <c r="AA17" s="15"/>
      <c r="AB17" s="15"/>
      <c r="AC17" s="16"/>
      <c r="AD17" s="16"/>
    </row>
    <row r="18" spans="2:30" ht="24.6" customHeight="1" thickBot="1">
      <c r="B18" s="280" t="s">
        <v>24</v>
      </c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  <c r="AA18" s="191"/>
      <c r="AB18" s="191"/>
      <c r="AC18" s="191"/>
      <c r="AD18" s="15"/>
    </row>
    <row r="19" spans="2:30" ht="15.75" customHeight="1" thickBot="1">
      <c r="B19" s="192" t="s">
        <v>25</v>
      </c>
      <c r="C19" s="195" t="s">
        <v>26</v>
      </c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7"/>
      <c r="U19" s="204" t="s">
        <v>27</v>
      </c>
      <c r="V19" s="205"/>
      <c r="W19" s="205"/>
      <c r="X19" s="206"/>
      <c r="Y19" s="213" t="s">
        <v>28</v>
      </c>
      <c r="Z19" s="214"/>
      <c r="AA19" s="219" t="s">
        <v>29</v>
      </c>
      <c r="AB19" s="220"/>
      <c r="AC19" s="221"/>
      <c r="AD19" s="33"/>
    </row>
    <row r="20" spans="2:30" ht="15.75" thickBot="1">
      <c r="B20" s="193"/>
      <c r="C20" s="198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200"/>
      <c r="U20" s="207"/>
      <c r="V20" s="208"/>
      <c r="W20" s="208"/>
      <c r="X20" s="209"/>
      <c r="Y20" s="215"/>
      <c r="Z20" s="216"/>
      <c r="AA20" s="219"/>
      <c r="AB20" s="220"/>
      <c r="AC20" s="221"/>
      <c r="AD20" s="33"/>
    </row>
    <row r="21" spans="2:30" ht="41.45" customHeight="1" thickBot="1">
      <c r="B21" s="193"/>
      <c r="C21" s="198"/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200"/>
      <c r="U21" s="207"/>
      <c r="V21" s="208"/>
      <c r="W21" s="208"/>
      <c r="X21" s="209"/>
      <c r="Y21" s="215"/>
      <c r="Z21" s="216"/>
      <c r="AA21" s="219"/>
      <c r="AB21" s="220"/>
      <c r="AC21" s="221"/>
      <c r="AD21" s="33"/>
    </row>
    <row r="22" spans="2:30" ht="3.75" customHeight="1" thickBot="1">
      <c r="B22" s="194"/>
      <c r="C22" s="201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3"/>
      <c r="U22" s="210"/>
      <c r="V22" s="211"/>
      <c r="W22" s="211"/>
      <c r="X22" s="212"/>
      <c r="Y22" s="217"/>
      <c r="Z22" s="218"/>
      <c r="AA22" s="219"/>
      <c r="AB22" s="220"/>
      <c r="AC22" s="221"/>
      <c r="AD22" s="33"/>
    </row>
    <row r="23" spans="2:30">
      <c r="B23" s="89" t="s">
        <v>30</v>
      </c>
      <c r="C23" s="100" t="s">
        <v>31</v>
      </c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2"/>
      <c r="U23" s="103"/>
      <c r="V23" s="104"/>
      <c r="W23" s="105"/>
      <c r="X23" s="106"/>
      <c r="Y23" s="165"/>
      <c r="Z23" s="166"/>
      <c r="AA23" s="176" t="s">
        <v>32</v>
      </c>
      <c r="AB23" s="177"/>
      <c r="AC23" s="178"/>
      <c r="AD23" s="23"/>
    </row>
    <row r="24" spans="2:30">
      <c r="B24" s="89"/>
      <c r="C24" s="132" t="s">
        <v>33</v>
      </c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85"/>
      <c r="V24" s="186"/>
      <c r="W24" s="187"/>
      <c r="X24" s="188"/>
      <c r="Y24" s="189"/>
      <c r="Z24" s="190"/>
      <c r="AA24" s="179"/>
      <c r="AB24" s="180"/>
      <c r="AC24" s="181"/>
      <c r="AD24" s="23"/>
    </row>
    <row r="25" spans="2:30">
      <c r="B25" s="89"/>
      <c r="C25" s="132" t="s">
        <v>34</v>
      </c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67" t="s">
        <v>35</v>
      </c>
      <c r="V25" s="168"/>
      <c r="W25" s="168"/>
      <c r="X25" s="169"/>
      <c r="Y25" s="139"/>
      <c r="Z25" s="140"/>
      <c r="AA25" s="179"/>
      <c r="AB25" s="180"/>
      <c r="AC25" s="181"/>
      <c r="AD25" s="23"/>
    </row>
    <row r="26" spans="2:30">
      <c r="B26" s="89"/>
      <c r="C26" s="132" t="s">
        <v>36</v>
      </c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4"/>
      <c r="U26" s="170"/>
      <c r="V26" s="171"/>
      <c r="W26" s="171"/>
      <c r="X26" s="172"/>
      <c r="Y26" s="139"/>
      <c r="Z26" s="140"/>
      <c r="AA26" s="179"/>
      <c r="AB26" s="180"/>
      <c r="AC26" s="181"/>
      <c r="AD26" s="23"/>
    </row>
    <row r="27" spans="2:30">
      <c r="B27" s="89"/>
      <c r="C27" s="132" t="s">
        <v>37</v>
      </c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4"/>
      <c r="U27" s="170"/>
      <c r="V27" s="171"/>
      <c r="W27" s="171"/>
      <c r="X27" s="172"/>
      <c r="Y27" s="139"/>
      <c r="Z27" s="140"/>
      <c r="AA27" s="179"/>
      <c r="AB27" s="180"/>
      <c r="AC27" s="181"/>
      <c r="AD27" s="23"/>
    </row>
    <row r="28" spans="2:30">
      <c r="B28" s="89"/>
      <c r="C28" s="132" t="s">
        <v>38</v>
      </c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4"/>
      <c r="U28" s="170"/>
      <c r="V28" s="171"/>
      <c r="W28" s="171"/>
      <c r="X28" s="172"/>
      <c r="Y28" s="139"/>
      <c r="Z28" s="140"/>
      <c r="AA28" s="179"/>
      <c r="AB28" s="180"/>
      <c r="AC28" s="181"/>
      <c r="AD28" s="23"/>
    </row>
    <row r="29" spans="2:30">
      <c r="B29" s="89"/>
      <c r="C29" s="132" t="s">
        <v>39</v>
      </c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4"/>
      <c r="U29" s="170"/>
      <c r="V29" s="171"/>
      <c r="W29" s="171"/>
      <c r="X29" s="172"/>
      <c r="Y29" s="139"/>
      <c r="Z29" s="140"/>
      <c r="AA29" s="179"/>
      <c r="AB29" s="180"/>
      <c r="AC29" s="181"/>
      <c r="AD29" s="23"/>
    </row>
    <row r="30" spans="2:30">
      <c r="B30" s="89"/>
      <c r="C30" s="132" t="s">
        <v>40</v>
      </c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4"/>
      <c r="U30" s="170"/>
      <c r="V30" s="171"/>
      <c r="W30" s="171"/>
      <c r="X30" s="172"/>
      <c r="Y30" s="139"/>
      <c r="Z30" s="140"/>
      <c r="AA30" s="179"/>
      <c r="AB30" s="180"/>
      <c r="AC30" s="181"/>
      <c r="AD30" s="23"/>
    </row>
    <row r="31" spans="2:30">
      <c r="B31" s="89"/>
      <c r="C31" s="132" t="s">
        <v>41</v>
      </c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4"/>
      <c r="U31" s="170"/>
      <c r="V31" s="171"/>
      <c r="W31" s="171"/>
      <c r="X31" s="172"/>
      <c r="Y31" s="139"/>
      <c r="Z31" s="140"/>
      <c r="AA31" s="179"/>
      <c r="AB31" s="180"/>
      <c r="AC31" s="181"/>
      <c r="AD31" s="23"/>
    </row>
    <row r="32" spans="2:30" ht="15.75" thickBot="1">
      <c r="B32" s="89"/>
      <c r="C32" s="109" t="s">
        <v>42</v>
      </c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1"/>
      <c r="U32" s="173"/>
      <c r="V32" s="174"/>
      <c r="W32" s="174"/>
      <c r="X32" s="175"/>
      <c r="Y32" s="114"/>
      <c r="Z32" s="115"/>
      <c r="AA32" s="182"/>
      <c r="AB32" s="183"/>
      <c r="AC32" s="184"/>
      <c r="AD32" s="23"/>
    </row>
    <row r="33" spans="2:30">
      <c r="B33" s="88" t="s">
        <v>43</v>
      </c>
      <c r="C33" s="100" t="s">
        <v>44</v>
      </c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2"/>
      <c r="U33" s="164" t="s">
        <v>45</v>
      </c>
      <c r="V33" s="154"/>
      <c r="W33" s="155"/>
      <c r="X33" s="156"/>
      <c r="Y33" s="107"/>
      <c r="Z33" s="108"/>
      <c r="AA33" s="144" t="s">
        <v>46</v>
      </c>
      <c r="AB33" s="145"/>
      <c r="AC33" s="146"/>
      <c r="AD33" s="37"/>
    </row>
    <row r="34" spans="2:30">
      <c r="B34" s="89"/>
      <c r="C34" s="132" t="s">
        <v>47</v>
      </c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4"/>
      <c r="U34" s="162" t="s">
        <v>48</v>
      </c>
      <c r="V34" s="136"/>
      <c r="W34" s="137"/>
      <c r="X34" s="138"/>
      <c r="Y34" s="139"/>
      <c r="Z34" s="140"/>
      <c r="AA34" s="144"/>
      <c r="AB34" s="145"/>
      <c r="AC34" s="146"/>
      <c r="AD34" s="37"/>
    </row>
    <row r="35" spans="2:30">
      <c r="B35" s="89"/>
      <c r="C35" s="132" t="s">
        <v>49</v>
      </c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4"/>
      <c r="U35" s="162" t="s">
        <v>50</v>
      </c>
      <c r="V35" s="136"/>
      <c r="W35" s="137"/>
      <c r="X35" s="138"/>
      <c r="Y35" s="139"/>
      <c r="Z35" s="140"/>
      <c r="AA35" s="144"/>
      <c r="AB35" s="145"/>
      <c r="AC35" s="146"/>
      <c r="AD35" s="37"/>
    </row>
    <row r="36" spans="2:30">
      <c r="B36" s="89"/>
      <c r="C36" s="132" t="s">
        <v>51</v>
      </c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4"/>
      <c r="U36" s="162" t="s">
        <v>52</v>
      </c>
      <c r="V36" s="136"/>
      <c r="W36" s="137"/>
      <c r="X36" s="138"/>
      <c r="Y36" s="139"/>
      <c r="Z36" s="140"/>
      <c r="AA36" s="147"/>
      <c r="AB36" s="148"/>
      <c r="AC36" s="149"/>
      <c r="AD36" s="37"/>
    </row>
    <row r="37" spans="2:30" ht="15.75" thickBot="1">
      <c r="B37" s="90"/>
      <c r="C37" s="109" t="s">
        <v>53</v>
      </c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1"/>
      <c r="U37" s="163" t="s">
        <v>52</v>
      </c>
      <c r="V37" s="158"/>
      <c r="W37" s="159"/>
      <c r="X37" s="160"/>
      <c r="Y37" s="114"/>
      <c r="Z37" s="115"/>
      <c r="AA37" s="281">
        <f>SUM(Y33:Z37)/5</f>
        <v>0</v>
      </c>
      <c r="AB37" s="282"/>
      <c r="AC37" s="283"/>
      <c r="AD37" s="34"/>
    </row>
    <row r="38" spans="2:30">
      <c r="B38" s="88" t="s">
        <v>54</v>
      </c>
      <c r="C38" s="150" t="s">
        <v>55</v>
      </c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2"/>
      <c r="U38" s="153" t="s">
        <v>56</v>
      </c>
      <c r="V38" s="154"/>
      <c r="W38" s="155"/>
      <c r="X38" s="156"/>
      <c r="Y38" s="107"/>
      <c r="Z38" s="108"/>
      <c r="AA38" s="141" t="s">
        <v>57</v>
      </c>
      <c r="AB38" s="142"/>
      <c r="AC38" s="143"/>
      <c r="AD38" s="37"/>
    </row>
    <row r="39" spans="2:30">
      <c r="B39" s="89"/>
      <c r="C39" s="132" t="s">
        <v>58</v>
      </c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4"/>
      <c r="U39" s="135" t="s">
        <v>59</v>
      </c>
      <c r="V39" s="136"/>
      <c r="W39" s="137"/>
      <c r="X39" s="138"/>
      <c r="Y39" s="139"/>
      <c r="Z39" s="140"/>
      <c r="AA39" s="144"/>
      <c r="AB39" s="145"/>
      <c r="AC39" s="146"/>
      <c r="AD39" s="37"/>
    </row>
    <row r="40" spans="2:30">
      <c r="B40" s="89"/>
      <c r="C40" s="132" t="s">
        <v>60</v>
      </c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4"/>
      <c r="U40" s="135" t="s">
        <v>61</v>
      </c>
      <c r="V40" s="136"/>
      <c r="W40" s="137"/>
      <c r="X40" s="138"/>
      <c r="Y40" s="139"/>
      <c r="Z40" s="140"/>
      <c r="AA40" s="147"/>
      <c r="AB40" s="148"/>
      <c r="AC40" s="149"/>
      <c r="AD40" s="37"/>
    </row>
    <row r="41" spans="2:30" ht="15.75" thickBot="1">
      <c r="B41" s="90"/>
      <c r="C41" s="109" t="s">
        <v>62</v>
      </c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1"/>
      <c r="U41" s="157" t="s">
        <v>63</v>
      </c>
      <c r="V41" s="158"/>
      <c r="W41" s="159"/>
      <c r="X41" s="160"/>
      <c r="Y41" s="114"/>
      <c r="Z41" s="115"/>
      <c r="AA41" s="281">
        <f>SUM(Y38:Z41)/4</f>
        <v>0</v>
      </c>
      <c r="AB41" s="282"/>
      <c r="AC41" s="283"/>
      <c r="AD41" s="34"/>
    </row>
    <row r="42" spans="2:30">
      <c r="B42" s="89" t="s">
        <v>30</v>
      </c>
      <c r="C42" s="100" t="s">
        <v>64</v>
      </c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2"/>
      <c r="U42" s="103" t="s">
        <v>65</v>
      </c>
      <c r="V42" s="104"/>
      <c r="W42" s="105"/>
      <c r="X42" s="106"/>
      <c r="Y42" s="107"/>
      <c r="Z42" s="108"/>
      <c r="AA42" s="141" t="s">
        <v>66</v>
      </c>
      <c r="AB42" s="142"/>
      <c r="AC42" s="143"/>
      <c r="AD42" s="34"/>
    </row>
    <row r="43" spans="2:30">
      <c r="B43" s="89"/>
      <c r="C43" s="132" t="s">
        <v>67</v>
      </c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4"/>
      <c r="U43" s="135" t="s">
        <v>68</v>
      </c>
      <c r="V43" s="136"/>
      <c r="W43" s="137"/>
      <c r="X43" s="138"/>
      <c r="Y43" s="139"/>
      <c r="Z43" s="140"/>
      <c r="AA43" s="144"/>
      <c r="AB43" s="145"/>
      <c r="AC43" s="146"/>
      <c r="AD43" s="37"/>
    </row>
    <row r="44" spans="2:30">
      <c r="B44" s="89"/>
      <c r="C44" s="132" t="s">
        <v>69</v>
      </c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4"/>
      <c r="U44" s="135" t="s">
        <v>70</v>
      </c>
      <c r="V44" s="136"/>
      <c r="W44" s="137"/>
      <c r="X44" s="138"/>
      <c r="Y44" s="139"/>
      <c r="Z44" s="140"/>
      <c r="AA44" s="147"/>
      <c r="AB44" s="148"/>
      <c r="AC44" s="149"/>
      <c r="AD44" s="37"/>
    </row>
    <row r="45" spans="2:30" ht="15.75" thickBot="1">
      <c r="B45" s="90"/>
      <c r="C45" s="109" t="s">
        <v>71</v>
      </c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1"/>
      <c r="U45" s="112" t="s">
        <v>35</v>
      </c>
      <c r="V45" s="112"/>
      <c r="W45" s="112"/>
      <c r="X45" s="113"/>
      <c r="Y45" s="114"/>
      <c r="Z45" s="115"/>
      <c r="AA45" s="281">
        <f>(SUM(Y25:Z32)+SUM(Y42:Z45))/12</f>
        <v>0</v>
      </c>
      <c r="AB45" s="282"/>
      <c r="AC45" s="283"/>
      <c r="AD45" s="34"/>
    </row>
    <row r="46" spans="2:30" ht="6" customHeight="1">
      <c r="B46" s="117" t="s">
        <v>72</v>
      </c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9"/>
      <c r="U46" s="293" t="s">
        <v>73</v>
      </c>
      <c r="V46" s="294"/>
      <c r="W46" s="294"/>
      <c r="X46" s="294"/>
      <c r="Y46" s="294"/>
      <c r="Z46" s="294"/>
      <c r="AA46" s="294"/>
      <c r="AB46" s="294"/>
      <c r="AC46" s="295"/>
      <c r="AD46" s="34"/>
    </row>
    <row r="47" spans="2:30" ht="15" customHeight="1">
      <c r="B47" s="290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291"/>
      <c r="N47" s="291"/>
      <c r="O47" s="291"/>
      <c r="P47" s="291"/>
      <c r="Q47" s="291"/>
      <c r="R47" s="291"/>
      <c r="S47" s="291"/>
      <c r="T47" s="292"/>
      <c r="U47" s="296"/>
      <c r="V47" s="297"/>
      <c r="W47" s="297"/>
      <c r="X47" s="297"/>
      <c r="Y47" s="297"/>
      <c r="Z47" s="297"/>
      <c r="AA47" s="297"/>
      <c r="AB47" s="297"/>
      <c r="AC47" s="298"/>
      <c r="AD47" s="38"/>
    </row>
    <row r="48" spans="2:30" ht="15.75" customHeight="1" thickBot="1">
      <c r="B48" s="120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2"/>
      <c r="U48" s="284" t="s">
        <v>74</v>
      </c>
      <c r="V48" s="285"/>
      <c r="W48" s="285"/>
      <c r="X48" s="286"/>
      <c r="Y48" s="287" t="s">
        <v>75</v>
      </c>
      <c r="Z48" s="288"/>
      <c r="AA48" s="287" t="s">
        <v>76</v>
      </c>
      <c r="AB48" s="289"/>
      <c r="AC48" s="288"/>
      <c r="AD48" s="35"/>
    </row>
    <row r="49" spans="1:30">
      <c r="B49" s="88" t="s">
        <v>77</v>
      </c>
      <c r="C49" s="91" t="s">
        <v>78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3"/>
      <c r="U49" s="94"/>
      <c r="V49" s="95"/>
      <c r="W49" s="95"/>
      <c r="X49" s="96"/>
      <c r="Y49" s="97"/>
      <c r="Z49" s="98"/>
      <c r="AA49" s="97"/>
      <c r="AB49" s="99"/>
      <c r="AC49" s="98"/>
      <c r="AD49" s="34"/>
    </row>
    <row r="50" spans="1:30" ht="30" customHeight="1">
      <c r="B50" s="89"/>
      <c r="C50" s="70" t="s">
        <v>79</v>
      </c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2"/>
      <c r="U50" s="73"/>
      <c r="V50" s="74"/>
      <c r="W50" s="74"/>
      <c r="X50" s="75"/>
      <c r="Y50" s="76"/>
      <c r="Z50" s="77"/>
      <c r="AA50" s="76"/>
      <c r="AB50" s="78"/>
      <c r="AC50" s="77"/>
      <c r="AD50" s="34"/>
    </row>
    <row r="51" spans="1:30" ht="33" customHeight="1">
      <c r="B51" s="89"/>
      <c r="C51" s="70" t="s">
        <v>80</v>
      </c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2"/>
      <c r="U51" s="73"/>
      <c r="V51" s="74"/>
      <c r="W51" s="74"/>
      <c r="X51" s="75"/>
      <c r="Y51" s="76"/>
      <c r="Z51" s="77"/>
      <c r="AA51" s="76"/>
      <c r="AB51" s="78"/>
      <c r="AC51" s="77"/>
      <c r="AD51" s="34"/>
    </row>
    <row r="52" spans="1:30" ht="29.25" customHeight="1">
      <c r="B52" s="89"/>
      <c r="C52" s="70" t="s">
        <v>81</v>
      </c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2"/>
      <c r="U52" s="73"/>
      <c r="V52" s="74"/>
      <c r="W52" s="74"/>
      <c r="X52" s="75"/>
      <c r="Y52" s="76"/>
      <c r="Z52" s="77"/>
      <c r="AA52" s="76"/>
      <c r="AB52" s="78"/>
      <c r="AC52" s="77"/>
      <c r="AD52" s="34"/>
    </row>
    <row r="53" spans="1:30" ht="27.75" customHeight="1">
      <c r="B53" s="89"/>
      <c r="C53" s="70" t="s">
        <v>82</v>
      </c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2"/>
      <c r="U53" s="73"/>
      <c r="V53" s="74"/>
      <c r="W53" s="74"/>
      <c r="X53" s="75"/>
      <c r="Y53" s="76"/>
      <c r="Z53" s="77"/>
      <c r="AA53" s="76"/>
      <c r="AB53" s="78"/>
      <c r="AC53" s="77"/>
      <c r="AD53" s="34"/>
    </row>
    <row r="54" spans="1:30" ht="27" customHeight="1" thickBot="1">
      <c r="B54" s="90"/>
      <c r="C54" s="79" t="s">
        <v>83</v>
      </c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1"/>
      <c r="U54" s="82"/>
      <c r="V54" s="83"/>
      <c r="W54" s="83"/>
      <c r="X54" s="84"/>
      <c r="Y54" s="85"/>
      <c r="Z54" s="86"/>
      <c r="AA54" s="85"/>
      <c r="AB54" s="87"/>
      <c r="AC54" s="86"/>
      <c r="AD54" s="34"/>
    </row>
    <row r="55" spans="1:30" ht="15.75" thickBot="1">
      <c r="B55" s="24"/>
      <c r="C55" s="25"/>
      <c r="D55" s="25"/>
      <c r="E55" s="25"/>
      <c r="F55" s="61" t="s">
        <v>84</v>
      </c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2"/>
      <c r="U55" s="299">
        <f>SUM(U49:X54)/6</f>
        <v>0</v>
      </c>
      <c r="V55" s="300"/>
      <c r="W55" s="300"/>
      <c r="X55" s="300"/>
      <c r="Y55" s="65">
        <f>SUM(Y49:Y54)/6</f>
        <v>0</v>
      </c>
      <c r="Z55" s="66"/>
      <c r="AA55" s="300">
        <f>SUM(AA49:AA54)/6</f>
        <v>0</v>
      </c>
      <c r="AB55" s="300"/>
      <c r="AC55" s="301"/>
      <c r="AD55" s="36"/>
    </row>
    <row r="56" spans="1:30" ht="37.5" customHeight="1">
      <c r="C56" s="21"/>
      <c r="D56" s="21"/>
      <c r="E56" s="21"/>
      <c r="F56" s="21"/>
      <c r="G56" s="68" t="s">
        <v>85</v>
      </c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17"/>
    </row>
    <row r="57" spans="1:30" ht="15" customHeight="1">
      <c r="G57" s="69" t="s">
        <v>86</v>
      </c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18"/>
      <c r="Y57" s="18"/>
    </row>
    <row r="58" spans="1:30" ht="25.9" customHeight="1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spans="1:30" ht="13.5" customHeight="1">
      <c r="A59" s="20" t="s">
        <v>87</v>
      </c>
    </row>
    <row r="60" spans="1:30" ht="13.5" customHeight="1">
      <c r="A60" s="20" t="s">
        <v>88</v>
      </c>
    </row>
  </sheetData>
  <protectedRanges>
    <protectedRange sqref="AB35:AD54 AA33 AC55:AD55 AA37:AA38 AA40:AA42 AA44:AA54 V25:Z54 U25:U46 U48:U54" name="Rango1_1"/>
  </protectedRanges>
  <dataConsolidate/>
  <mergeCells count="141">
    <mergeCell ref="AA33:AC36"/>
    <mergeCell ref="AA38:AC40"/>
    <mergeCell ref="AA23:AC32"/>
    <mergeCell ref="U55:X55"/>
    <mergeCell ref="Y55:Z55"/>
    <mergeCell ref="AA55:AC55"/>
    <mergeCell ref="G56:W56"/>
    <mergeCell ref="G57:W57"/>
    <mergeCell ref="F55:T55"/>
    <mergeCell ref="C53:T53"/>
    <mergeCell ref="U53:X53"/>
    <mergeCell ref="Y53:Z53"/>
    <mergeCell ref="AA53:AC53"/>
    <mergeCell ref="C54:T54"/>
    <mergeCell ref="U54:X54"/>
    <mergeCell ref="Y54:Z54"/>
    <mergeCell ref="AA54:AC54"/>
    <mergeCell ref="U51:X51"/>
    <mergeCell ref="Y51:Z51"/>
    <mergeCell ref="AA51:AC51"/>
    <mergeCell ref="C52:T52"/>
    <mergeCell ref="U52:X52"/>
    <mergeCell ref="Y52:Z52"/>
    <mergeCell ref="AA52:AC52"/>
    <mergeCell ref="B49:B54"/>
    <mergeCell ref="C49:T49"/>
    <mergeCell ref="U49:X49"/>
    <mergeCell ref="Y49:Z49"/>
    <mergeCell ref="AA49:AC49"/>
    <mergeCell ref="C50:T50"/>
    <mergeCell ref="U50:X50"/>
    <mergeCell ref="Y50:Z50"/>
    <mergeCell ref="AA50:AC50"/>
    <mergeCell ref="C51:T51"/>
    <mergeCell ref="C45:T45"/>
    <mergeCell ref="U45:X45"/>
    <mergeCell ref="Y45:Z45"/>
    <mergeCell ref="AA45:AC45"/>
    <mergeCell ref="U48:X48"/>
    <mergeCell ref="Y48:Z48"/>
    <mergeCell ref="AA48:AC48"/>
    <mergeCell ref="B42:B45"/>
    <mergeCell ref="AA42:AC44"/>
    <mergeCell ref="B46:T48"/>
    <mergeCell ref="U46:AC47"/>
    <mergeCell ref="AA37:AC37"/>
    <mergeCell ref="U43:X43"/>
    <mergeCell ref="Y43:Z43"/>
    <mergeCell ref="C44:T44"/>
    <mergeCell ref="U44:X44"/>
    <mergeCell ref="Y44:Z44"/>
    <mergeCell ref="C41:T41"/>
    <mergeCell ref="U41:X41"/>
    <mergeCell ref="Y41:Z41"/>
    <mergeCell ref="AA41:AC41"/>
    <mergeCell ref="C42:T42"/>
    <mergeCell ref="U42:X42"/>
    <mergeCell ref="Y42:Z42"/>
    <mergeCell ref="C43:T43"/>
    <mergeCell ref="B38:B41"/>
    <mergeCell ref="C38:T38"/>
    <mergeCell ref="U38:X38"/>
    <mergeCell ref="Y38:Z38"/>
    <mergeCell ref="C39:T39"/>
    <mergeCell ref="C35:T35"/>
    <mergeCell ref="U35:X35"/>
    <mergeCell ref="Y35:Z35"/>
    <mergeCell ref="C36:T36"/>
    <mergeCell ref="U36:X36"/>
    <mergeCell ref="Y36:Z36"/>
    <mergeCell ref="U39:X39"/>
    <mergeCell ref="Y39:Z39"/>
    <mergeCell ref="C40:T40"/>
    <mergeCell ref="U40:X40"/>
    <mergeCell ref="Y40:Z40"/>
    <mergeCell ref="C37:T37"/>
    <mergeCell ref="U37:X37"/>
    <mergeCell ref="Y37:Z37"/>
    <mergeCell ref="C32:T32"/>
    <mergeCell ref="Y32:Z32"/>
    <mergeCell ref="B33:B37"/>
    <mergeCell ref="C33:T33"/>
    <mergeCell ref="U33:X33"/>
    <mergeCell ref="Y33:Z33"/>
    <mergeCell ref="C34:T34"/>
    <mergeCell ref="U34:X34"/>
    <mergeCell ref="Y34:Z34"/>
    <mergeCell ref="U25:X32"/>
    <mergeCell ref="Y25:Z25"/>
    <mergeCell ref="C26:T26"/>
    <mergeCell ref="Y26:Z26"/>
    <mergeCell ref="C27:T27"/>
    <mergeCell ref="Y27:Z27"/>
    <mergeCell ref="B23:B32"/>
    <mergeCell ref="C23:T23"/>
    <mergeCell ref="U23:X23"/>
    <mergeCell ref="Y23:Z23"/>
    <mergeCell ref="C24:T24"/>
    <mergeCell ref="U24:X24"/>
    <mergeCell ref="Y24:Z24"/>
    <mergeCell ref="C25:T25"/>
    <mergeCell ref="C30:T30"/>
    <mergeCell ref="Y30:Z30"/>
    <mergeCell ref="C31:T31"/>
    <mergeCell ref="Y31:Z31"/>
    <mergeCell ref="C28:T28"/>
    <mergeCell ref="B18:AC18"/>
    <mergeCell ref="B19:B22"/>
    <mergeCell ref="C19:T22"/>
    <mergeCell ref="U19:X22"/>
    <mergeCell ref="Y19:Z22"/>
    <mergeCell ref="AA19:AC22"/>
    <mergeCell ref="Y28:Z28"/>
    <mergeCell ref="C29:T29"/>
    <mergeCell ref="Y29:Z29"/>
    <mergeCell ref="B15:C15"/>
    <mergeCell ref="D15:AC15"/>
    <mergeCell ref="B16:C16"/>
    <mergeCell ref="D16:AC16"/>
    <mergeCell ref="B17:C17"/>
    <mergeCell ref="D17:X17"/>
    <mergeCell ref="D13:W13"/>
    <mergeCell ref="AB13:AC13"/>
    <mergeCell ref="AB14:AC14"/>
    <mergeCell ref="AA8:AB8"/>
    <mergeCell ref="B9:E9"/>
    <mergeCell ref="I9:P9"/>
    <mergeCell ref="B10:E10"/>
    <mergeCell ref="I10:P10"/>
    <mergeCell ref="Y9:AC9"/>
    <mergeCell ref="C14:U14"/>
    <mergeCell ref="AB10:AC10"/>
    <mergeCell ref="AB3:AC3"/>
    <mergeCell ref="G5:H6"/>
    <mergeCell ref="P5:Q6"/>
    <mergeCell ref="X5:X6"/>
    <mergeCell ref="Y6:Z6"/>
    <mergeCell ref="AA6:AB6"/>
    <mergeCell ref="AB11:AC11"/>
    <mergeCell ref="C12:W12"/>
    <mergeCell ref="AB12:AC12"/>
  </mergeCells>
  <dataValidations count="3">
    <dataValidation type="list" allowBlank="1" showInputMessage="1" showErrorMessage="1" sqref="B10:E10" xr:uid="{0D025F08-013B-4DAB-8536-69DEAC6AF0B5}">
      <formula1>"Septiembre-Diciembre 2025"</formula1>
    </dataValidation>
    <dataValidation type="list" allowBlank="1" showInputMessage="1" showErrorMessage="1" sqref="I10:P10" xr:uid="{42052383-BEC3-46D5-8EFD-B85DB0E5C8B8}">
      <formula1>"Cuarto, Quinto, Sexto, Séptimo, Octavo, Noveno, Décimo"</formula1>
    </dataValidation>
    <dataValidation type="list" allowBlank="1" showInputMessage="1" showErrorMessage="1" sqref="C14" xr:uid="{1872C86B-CA45-4077-8F0A-F50CFED545F3}">
      <formula1>"INGENIERÍA MECÁNICA AUTOMOTRIZ, INGENIERÍA EN TECNOLOGÍAS DE MANUFACTURA, INGENIERÍA EN SOFTWARE, INGENIERÍA FINANCIERA, LICENCIATURA EN NEGOCIOS INTERNACIONALES"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scale="6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D59"/>
  <sheetViews>
    <sheetView view="pageBreakPreview" zoomScaleNormal="100" zoomScaleSheetLayoutView="100" workbookViewId="0">
      <selection activeCell="C14" sqref="C14:W14"/>
    </sheetView>
  </sheetViews>
  <sheetFormatPr defaultColWidth="11.42578125" defaultRowHeight="15"/>
  <cols>
    <col min="1" max="1" width="2.7109375" customWidth="1"/>
    <col min="2" max="2" width="16.85546875" customWidth="1"/>
    <col min="3" max="3" width="4" customWidth="1"/>
    <col min="4" max="5" width="2.5703125" customWidth="1"/>
    <col min="6" max="6" width="3.7109375" customWidth="1"/>
    <col min="7" max="7" width="2.5703125" customWidth="1"/>
    <col min="8" max="8" width="2.28515625" customWidth="1"/>
    <col min="9" max="9" width="2.5703125" customWidth="1"/>
    <col min="10" max="10" width="3" customWidth="1"/>
    <col min="11" max="12" width="2.5703125" customWidth="1"/>
    <col min="13" max="13" width="2" customWidth="1"/>
    <col min="14" max="18" width="2.5703125" customWidth="1"/>
    <col min="19" max="20" width="1.7109375" customWidth="1"/>
    <col min="21" max="21" width="2.7109375" customWidth="1"/>
    <col min="22" max="22" width="1.85546875" customWidth="1"/>
    <col min="23" max="23" width="2.5703125" customWidth="1"/>
    <col min="24" max="24" width="5.5703125" customWidth="1"/>
    <col min="25" max="25" width="3.85546875" customWidth="1"/>
    <col min="26" max="26" width="10.5703125" customWidth="1"/>
    <col min="27" max="27" width="4.7109375" customWidth="1"/>
    <col min="28" max="28" width="6.28515625" customWidth="1"/>
    <col min="29" max="29" width="3" customWidth="1"/>
    <col min="30" max="30" width="2.85546875" customWidth="1"/>
  </cols>
  <sheetData>
    <row r="1" spans="2:30" ht="31.5" customHeight="1"/>
    <row r="2" spans="2:30" ht="18.75">
      <c r="D2" s="1" t="s">
        <v>0</v>
      </c>
    </row>
    <row r="3" spans="2:30" ht="11.25" customHeight="1"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AB3" s="244"/>
      <c r="AC3" s="244"/>
    </row>
    <row r="4" spans="2:30">
      <c r="B4" s="3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2:30" ht="5.45" customHeight="1">
      <c r="G5" s="245" t="str">
        <f>IF(I10="Cuarto","X",IF(I10="Quinto","X",IF(I10="Sexto","X","")))</f>
        <v>X</v>
      </c>
      <c r="H5" s="246"/>
      <c r="P5" s="249" t="str">
        <f>IF(I10="Séptimo","X",IF(I10="Octavo","X",IF(I10="Noveno","X","")))</f>
        <v/>
      </c>
      <c r="Q5" s="250"/>
      <c r="X5" s="253" t="str">
        <f>IF(I10="Décimo","X","")</f>
        <v/>
      </c>
    </row>
    <row r="6" spans="2:30" ht="15" customHeight="1">
      <c r="C6" s="2" t="s">
        <v>2</v>
      </c>
      <c r="G6" s="247"/>
      <c r="H6" s="248"/>
      <c r="K6" s="2" t="s">
        <v>3</v>
      </c>
      <c r="P6" s="251"/>
      <c r="Q6" s="252"/>
      <c r="U6" s="2" t="s">
        <v>4</v>
      </c>
      <c r="X6" s="254"/>
      <c r="Y6" s="272" t="s">
        <v>5</v>
      </c>
      <c r="Z6" s="272"/>
      <c r="AA6" s="256" t="str">
        <f>_xlfn.CONCAT('ESTUDIANTE 1'!AA6:AB6)</f>
        <v/>
      </c>
      <c r="AB6" s="257"/>
    </row>
    <row r="7" spans="2:30" ht="13.5" customHeight="1">
      <c r="G7" s="2"/>
      <c r="H7" s="2"/>
      <c r="L7" s="4"/>
      <c r="M7" s="4"/>
      <c r="U7" s="2"/>
      <c r="AA7" s="5"/>
      <c r="AB7" s="5"/>
    </row>
    <row r="8" spans="2:30" ht="17.25" customHeight="1" thickBot="1">
      <c r="G8" s="2"/>
      <c r="H8" s="2"/>
      <c r="U8" s="2"/>
      <c r="Z8" s="6" t="s">
        <v>6</v>
      </c>
      <c r="AA8" s="303" t="str">
        <f>_xlfn.CONCAT('ESTUDIANTE 1'!AA8:AB8)</f>
        <v/>
      </c>
      <c r="AB8" s="304"/>
    </row>
    <row r="9" spans="2:30" ht="14.25" customHeight="1" thickBot="1">
      <c r="B9" s="261" t="s">
        <v>7</v>
      </c>
      <c r="C9" s="261"/>
      <c r="D9" s="261"/>
      <c r="E9" s="261"/>
      <c r="F9" s="26"/>
      <c r="G9" s="26"/>
      <c r="H9" s="26"/>
      <c r="I9" s="239" t="s">
        <v>8</v>
      </c>
      <c r="J9" s="239"/>
      <c r="K9" s="239"/>
      <c r="L9" s="239"/>
      <c r="M9" s="239"/>
      <c r="N9" s="239"/>
      <c r="O9" s="239"/>
      <c r="P9" s="239"/>
      <c r="Q9" s="26"/>
      <c r="R9" s="26"/>
      <c r="S9" s="26"/>
      <c r="T9" s="26"/>
      <c r="U9" s="26"/>
      <c r="V9" s="26"/>
      <c r="W9" s="26"/>
      <c r="X9" s="7"/>
      <c r="Y9" s="265" t="s">
        <v>9</v>
      </c>
      <c r="Z9" s="266"/>
      <c r="AA9" s="266"/>
      <c r="AB9" s="266"/>
      <c r="AC9" s="267"/>
      <c r="AD9" s="7"/>
    </row>
    <row r="10" spans="2:30" ht="14.25" customHeight="1">
      <c r="B10" s="262" t="str">
        <f>_xlfn.CONCAT('ESTUDIANTE 1'!B10:E10)</f>
        <v>Septiembre-Diciembre 2025</v>
      </c>
      <c r="C10" s="263"/>
      <c r="D10" s="263"/>
      <c r="E10" s="264"/>
      <c r="F10" s="27"/>
      <c r="G10" s="27"/>
      <c r="H10" s="27"/>
      <c r="I10" s="243" t="str">
        <f>_xlfn.CONCAT('ESTUDIANTE 1'!I10:P10)</f>
        <v>Sexto</v>
      </c>
      <c r="J10" s="243"/>
      <c r="K10" s="243"/>
      <c r="L10" s="243"/>
      <c r="M10" s="243"/>
      <c r="N10" s="243"/>
      <c r="O10" s="243"/>
      <c r="P10" s="243"/>
      <c r="Q10" s="28"/>
      <c r="R10" s="28"/>
      <c r="S10" s="28"/>
      <c r="T10" s="28"/>
      <c r="U10" s="28"/>
      <c r="V10" s="28"/>
      <c r="W10" s="28"/>
      <c r="Y10" s="40" t="s">
        <v>12</v>
      </c>
      <c r="Z10" s="41"/>
      <c r="AA10" s="42"/>
      <c r="AB10" s="270">
        <v>10</v>
      </c>
      <c r="AC10" s="271"/>
    </row>
    <row r="11" spans="2:30" ht="14.25" customHeight="1">
      <c r="C11" s="2"/>
      <c r="D11" s="2"/>
      <c r="E11" s="2"/>
      <c r="F11" s="29"/>
      <c r="G11" s="29"/>
      <c r="H11" s="29"/>
      <c r="I11" s="29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Y11" s="9" t="s">
        <v>13</v>
      </c>
      <c r="AB11" s="270">
        <v>9</v>
      </c>
      <c r="AC11" s="271"/>
    </row>
    <row r="12" spans="2:30" ht="14.25" customHeight="1">
      <c r="B12" s="43" t="s">
        <v>14</v>
      </c>
      <c r="C12" s="229"/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44"/>
      <c r="Y12" s="45" t="s">
        <v>15</v>
      </c>
      <c r="Z12" s="46"/>
      <c r="AA12" s="46"/>
      <c r="AB12" s="230">
        <v>8</v>
      </c>
      <c r="AC12" s="231"/>
    </row>
    <row r="13" spans="2:30" ht="14.25" customHeight="1">
      <c r="B13" s="29" t="s">
        <v>16</v>
      </c>
      <c r="C13" s="22"/>
      <c r="D13" s="232"/>
      <c r="E13" s="232"/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X13" s="44"/>
      <c r="Y13" s="47" t="s">
        <v>17</v>
      </c>
      <c r="Z13" s="44"/>
      <c r="AA13" s="44"/>
      <c r="AB13" s="227">
        <v>7</v>
      </c>
      <c r="AC13" s="228"/>
    </row>
    <row r="14" spans="2:30" ht="14.25" customHeight="1" thickBot="1">
      <c r="B14" s="22" t="s">
        <v>18</v>
      </c>
      <c r="C14" s="235" t="str">
        <f>_xlfn.CONCAT('ESTUDIANTE 1'!C14:U14)</f>
        <v>INGENIERÍA EN SOFTWARE</v>
      </c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44"/>
      <c r="Y14" s="48" t="s">
        <v>20</v>
      </c>
      <c r="Z14" s="49"/>
      <c r="AA14" s="49"/>
      <c r="AB14" s="233">
        <v>6</v>
      </c>
      <c r="AC14" s="234"/>
    </row>
    <row r="15" spans="2:30" ht="36.75" customHeight="1">
      <c r="B15" s="222" t="s">
        <v>21</v>
      </c>
      <c r="C15" s="222"/>
      <c r="D15" s="223" t="str">
        <f>_xlfn.CONCAT('ESTUDIANTE 1'!D15:AC15)</f>
        <v/>
      </c>
      <c r="E15" s="223"/>
      <c r="F15" s="223"/>
      <c r="G15" s="223"/>
      <c r="H15" s="223"/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3"/>
      <c r="T15" s="223"/>
      <c r="U15" s="223"/>
      <c r="V15" s="223"/>
      <c r="W15" s="223"/>
      <c r="X15" s="223"/>
      <c r="Y15" s="223"/>
      <c r="Z15" s="223"/>
      <c r="AA15" s="223"/>
      <c r="AB15" s="223"/>
      <c r="AC15" s="223"/>
    </row>
    <row r="16" spans="2:30" ht="16.149999999999999" customHeight="1">
      <c r="B16" s="224" t="s">
        <v>22</v>
      </c>
      <c r="C16" s="224"/>
      <c r="D16" s="225" t="str">
        <f>_xlfn.CONCAT('ESTUDIANTE 1'!D16:AC16)</f>
        <v/>
      </c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  <c r="AA16" s="225"/>
      <c r="AB16" s="225"/>
      <c r="AC16" s="225"/>
    </row>
    <row r="17" spans="2:29" ht="16.149999999999999" customHeight="1">
      <c r="B17" s="224" t="s">
        <v>23</v>
      </c>
      <c r="C17" s="224"/>
      <c r="D17" s="226" t="str">
        <f>_xlfn.CONCAT('ESTUDIANTE 1'!D17:X17)</f>
        <v/>
      </c>
      <c r="E17" s="226"/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"/>
      <c r="Z17" s="22"/>
      <c r="AA17" s="22"/>
      <c r="AB17" s="22"/>
      <c r="AC17" s="50"/>
    </row>
    <row r="18" spans="2:29" ht="24.6" customHeight="1" thickBot="1">
      <c r="B18" s="280" t="s">
        <v>24</v>
      </c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  <c r="AA18" s="191"/>
      <c r="AB18" s="191"/>
      <c r="AC18" s="191"/>
    </row>
    <row r="19" spans="2:29" ht="15.75" customHeight="1" thickBot="1">
      <c r="B19" s="192" t="s">
        <v>25</v>
      </c>
      <c r="C19" s="195" t="s">
        <v>26</v>
      </c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7"/>
      <c r="U19" s="204" t="s">
        <v>27</v>
      </c>
      <c r="V19" s="205"/>
      <c r="W19" s="205"/>
      <c r="X19" s="206"/>
      <c r="Y19" s="213" t="s">
        <v>28</v>
      </c>
      <c r="Z19" s="214"/>
      <c r="AA19" s="219" t="s">
        <v>29</v>
      </c>
      <c r="AB19" s="220"/>
      <c r="AC19" s="221"/>
    </row>
    <row r="20" spans="2:29" ht="15.75" thickBot="1">
      <c r="B20" s="193"/>
      <c r="C20" s="198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200"/>
      <c r="U20" s="207"/>
      <c r="V20" s="208"/>
      <c r="W20" s="208"/>
      <c r="X20" s="209"/>
      <c r="Y20" s="215"/>
      <c r="Z20" s="216"/>
      <c r="AA20" s="219"/>
      <c r="AB20" s="220"/>
      <c r="AC20" s="221"/>
    </row>
    <row r="21" spans="2:29" ht="41.45" customHeight="1" thickBot="1">
      <c r="B21" s="193"/>
      <c r="C21" s="198"/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200"/>
      <c r="U21" s="207"/>
      <c r="V21" s="208"/>
      <c r="W21" s="208"/>
      <c r="X21" s="209"/>
      <c r="Y21" s="215"/>
      <c r="Z21" s="216"/>
      <c r="AA21" s="219"/>
      <c r="AB21" s="220"/>
      <c r="AC21" s="221"/>
    </row>
    <row r="22" spans="2:29" ht="3.75" customHeight="1" thickBot="1">
      <c r="B22" s="194"/>
      <c r="C22" s="201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3"/>
      <c r="U22" s="210"/>
      <c r="V22" s="211"/>
      <c r="W22" s="211"/>
      <c r="X22" s="212"/>
      <c r="Y22" s="217"/>
      <c r="Z22" s="218"/>
      <c r="AA22" s="219"/>
      <c r="AB22" s="220"/>
      <c r="AC22" s="221"/>
    </row>
    <row r="23" spans="2:29">
      <c r="B23" s="89" t="s">
        <v>30</v>
      </c>
      <c r="C23" s="100" t="s">
        <v>31</v>
      </c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2"/>
      <c r="U23" s="103"/>
      <c r="V23" s="104"/>
      <c r="W23" s="105"/>
      <c r="X23" s="106"/>
      <c r="Y23" s="165"/>
      <c r="Z23" s="166"/>
      <c r="AA23" s="176" t="s">
        <v>32</v>
      </c>
      <c r="AB23" s="177"/>
      <c r="AC23" s="178"/>
    </row>
    <row r="24" spans="2:29">
      <c r="B24" s="89"/>
      <c r="C24" s="132" t="s">
        <v>33</v>
      </c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85"/>
      <c r="V24" s="186"/>
      <c r="W24" s="187"/>
      <c r="X24" s="188"/>
      <c r="Y24" s="189"/>
      <c r="Z24" s="190"/>
      <c r="AA24" s="179"/>
      <c r="AB24" s="180"/>
      <c r="AC24" s="181"/>
    </row>
    <row r="25" spans="2:29">
      <c r="B25" s="89"/>
      <c r="C25" s="132" t="s">
        <v>34</v>
      </c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67" t="s">
        <v>35</v>
      </c>
      <c r="V25" s="168"/>
      <c r="W25" s="168"/>
      <c r="X25" s="169"/>
      <c r="Y25" s="139"/>
      <c r="Z25" s="140"/>
      <c r="AA25" s="179"/>
      <c r="AB25" s="180"/>
      <c r="AC25" s="181"/>
    </row>
    <row r="26" spans="2:29">
      <c r="B26" s="89"/>
      <c r="C26" s="132" t="s">
        <v>36</v>
      </c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4"/>
      <c r="U26" s="170"/>
      <c r="V26" s="171"/>
      <c r="W26" s="171"/>
      <c r="X26" s="172"/>
      <c r="Y26" s="139"/>
      <c r="Z26" s="140"/>
      <c r="AA26" s="179"/>
      <c r="AB26" s="180"/>
      <c r="AC26" s="181"/>
    </row>
    <row r="27" spans="2:29">
      <c r="B27" s="89"/>
      <c r="C27" s="132" t="s">
        <v>37</v>
      </c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4"/>
      <c r="U27" s="170"/>
      <c r="V27" s="171"/>
      <c r="W27" s="171"/>
      <c r="X27" s="172"/>
      <c r="Y27" s="139"/>
      <c r="Z27" s="140"/>
      <c r="AA27" s="179"/>
      <c r="AB27" s="180"/>
      <c r="AC27" s="181"/>
    </row>
    <row r="28" spans="2:29">
      <c r="B28" s="89"/>
      <c r="C28" s="132" t="s">
        <v>38</v>
      </c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4"/>
      <c r="U28" s="170"/>
      <c r="V28" s="171"/>
      <c r="W28" s="171"/>
      <c r="X28" s="172"/>
      <c r="Y28" s="139"/>
      <c r="Z28" s="140"/>
      <c r="AA28" s="179"/>
      <c r="AB28" s="180"/>
      <c r="AC28" s="181"/>
    </row>
    <row r="29" spans="2:29">
      <c r="B29" s="89"/>
      <c r="C29" s="132" t="s">
        <v>39</v>
      </c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4"/>
      <c r="U29" s="170"/>
      <c r="V29" s="171"/>
      <c r="W29" s="171"/>
      <c r="X29" s="172"/>
      <c r="Y29" s="139"/>
      <c r="Z29" s="140"/>
      <c r="AA29" s="179"/>
      <c r="AB29" s="180"/>
      <c r="AC29" s="181"/>
    </row>
    <row r="30" spans="2:29">
      <c r="B30" s="89"/>
      <c r="C30" s="132" t="s">
        <v>40</v>
      </c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4"/>
      <c r="U30" s="170"/>
      <c r="V30" s="171"/>
      <c r="W30" s="171"/>
      <c r="X30" s="172"/>
      <c r="Y30" s="139"/>
      <c r="Z30" s="140"/>
      <c r="AA30" s="179"/>
      <c r="AB30" s="180"/>
      <c r="AC30" s="181"/>
    </row>
    <row r="31" spans="2:29">
      <c r="B31" s="89"/>
      <c r="C31" s="132" t="s">
        <v>41</v>
      </c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4"/>
      <c r="U31" s="170"/>
      <c r="V31" s="171"/>
      <c r="W31" s="171"/>
      <c r="X31" s="172"/>
      <c r="Y31" s="139"/>
      <c r="Z31" s="140"/>
      <c r="AA31" s="179"/>
      <c r="AB31" s="180"/>
      <c r="AC31" s="181"/>
    </row>
    <row r="32" spans="2:29" ht="15.75" thickBot="1">
      <c r="B32" s="89"/>
      <c r="C32" s="109" t="s">
        <v>42</v>
      </c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1"/>
      <c r="U32" s="173"/>
      <c r="V32" s="174"/>
      <c r="W32" s="174"/>
      <c r="X32" s="175"/>
      <c r="Y32" s="114"/>
      <c r="Z32" s="115"/>
      <c r="AA32" s="182"/>
      <c r="AB32" s="183"/>
      <c r="AC32" s="184"/>
    </row>
    <row r="33" spans="2:30">
      <c r="B33" s="88" t="s">
        <v>43</v>
      </c>
      <c r="C33" s="100" t="s">
        <v>44</v>
      </c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2"/>
      <c r="U33" s="164" t="s">
        <v>45</v>
      </c>
      <c r="V33" s="154"/>
      <c r="W33" s="155"/>
      <c r="X33" s="156"/>
      <c r="Y33" s="107"/>
      <c r="Z33" s="108"/>
      <c r="AA33" s="141" t="s">
        <v>46</v>
      </c>
      <c r="AB33" s="142"/>
      <c r="AC33" s="143"/>
    </row>
    <row r="34" spans="2:30">
      <c r="B34" s="89"/>
      <c r="C34" s="132" t="s">
        <v>47</v>
      </c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4"/>
      <c r="U34" s="162" t="s">
        <v>48</v>
      </c>
      <c r="V34" s="136"/>
      <c r="W34" s="137"/>
      <c r="X34" s="138"/>
      <c r="Y34" s="139"/>
      <c r="Z34" s="140"/>
      <c r="AA34" s="144"/>
      <c r="AB34" s="145"/>
      <c r="AC34" s="146"/>
    </row>
    <row r="35" spans="2:30">
      <c r="B35" s="89"/>
      <c r="C35" s="132" t="s">
        <v>49</v>
      </c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4"/>
      <c r="U35" s="162" t="s">
        <v>50</v>
      </c>
      <c r="V35" s="136"/>
      <c r="W35" s="137"/>
      <c r="X35" s="138"/>
      <c r="Y35" s="139"/>
      <c r="Z35" s="140"/>
      <c r="AA35" s="144"/>
      <c r="AB35" s="145"/>
      <c r="AC35" s="146"/>
      <c r="AD35" s="305"/>
    </row>
    <row r="36" spans="2:30">
      <c r="B36" s="89"/>
      <c r="C36" s="132" t="s">
        <v>51</v>
      </c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4"/>
      <c r="U36" s="162" t="s">
        <v>52</v>
      </c>
      <c r="V36" s="136"/>
      <c r="W36" s="137"/>
      <c r="X36" s="138"/>
      <c r="Y36" s="139"/>
      <c r="Z36" s="140"/>
      <c r="AA36" s="147"/>
      <c r="AB36" s="148"/>
      <c r="AC36" s="149"/>
      <c r="AD36" s="305"/>
    </row>
    <row r="37" spans="2:30" ht="15.75" thickBot="1">
      <c r="B37" s="90"/>
      <c r="C37" s="109" t="s">
        <v>53</v>
      </c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1"/>
      <c r="U37" s="163" t="s">
        <v>52</v>
      </c>
      <c r="V37" s="158"/>
      <c r="W37" s="159"/>
      <c r="X37" s="160"/>
      <c r="Y37" s="114"/>
      <c r="Z37" s="115"/>
      <c r="AA37" s="114">
        <f>SUM(Y33:Z37)/5</f>
        <v>0</v>
      </c>
      <c r="AB37" s="116"/>
      <c r="AC37" s="115"/>
    </row>
    <row r="38" spans="2:30">
      <c r="B38" s="88" t="s">
        <v>54</v>
      </c>
      <c r="C38" s="150" t="s">
        <v>55</v>
      </c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2"/>
      <c r="U38" s="153" t="s">
        <v>56</v>
      </c>
      <c r="V38" s="154"/>
      <c r="W38" s="155"/>
      <c r="X38" s="156"/>
      <c r="Y38" s="107"/>
      <c r="Z38" s="108"/>
      <c r="AA38" s="141" t="s">
        <v>57</v>
      </c>
      <c r="AB38" s="142"/>
      <c r="AC38" s="143"/>
    </row>
    <row r="39" spans="2:30">
      <c r="B39" s="89"/>
      <c r="C39" s="132" t="s">
        <v>58</v>
      </c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4"/>
      <c r="U39" s="135" t="s">
        <v>59</v>
      </c>
      <c r="V39" s="136"/>
      <c r="W39" s="137"/>
      <c r="X39" s="138"/>
      <c r="Y39" s="139"/>
      <c r="Z39" s="140"/>
      <c r="AA39" s="144"/>
      <c r="AB39" s="145"/>
      <c r="AC39" s="146"/>
    </row>
    <row r="40" spans="2:30">
      <c r="B40" s="89"/>
      <c r="C40" s="132" t="s">
        <v>60</v>
      </c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4"/>
      <c r="U40" s="135" t="s">
        <v>61</v>
      </c>
      <c r="V40" s="136"/>
      <c r="W40" s="137"/>
      <c r="X40" s="138"/>
      <c r="Y40" s="139"/>
      <c r="Z40" s="140"/>
      <c r="AA40" s="147"/>
      <c r="AB40" s="148"/>
      <c r="AC40" s="149"/>
    </row>
    <row r="41" spans="2:30" ht="15.75" thickBot="1">
      <c r="B41" s="90"/>
      <c r="C41" s="109" t="s">
        <v>62</v>
      </c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1"/>
      <c r="U41" s="157" t="s">
        <v>63</v>
      </c>
      <c r="V41" s="158"/>
      <c r="W41" s="159"/>
      <c r="X41" s="160"/>
      <c r="Y41" s="114"/>
      <c r="Z41" s="115"/>
      <c r="AA41" s="114">
        <f>SUM(Y38:Z41)/4</f>
        <v>0</v>
      </c>
      <c r="AB41" s="116"/>
      <c r="AC41" s="115"/>
    </row>
    <row r="42" spans="2:30">
      <c r="B42" s="89" t="s">
        <v>30</v>
      </c>
      <c r="C42" s="100" t="s">
        <v>64</v>
      </c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2"/>
      <c r="U42" s="103" t="s">
        <v>65</v>
      </c>
      <c r="V42" s="104"/>
      <c r="W42" s="105"/>
      <c r="X42" s="106"/>
      <c r="Y42" s="107"/>
      <c r="Z42" s="108"/>
      <c r="AA42" s="141" t="s">
        <v>66</v>
      </c>
      <c r="AB42" s="142"/>
      <c r="AC42" s="143"/>
    </row>
    <row r="43" spans="2:30" ht="15" customHeight="1">
      <c r="B43" s="89"/>
      <c r="C43" s="132" t="s">
        <v>67</v>
      </c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4"/>
      <c r="U43" s="135" t="s">
        <v>68</v>
      </c>
      <c r="V43" s="136"/>
      <c r="W43" s="137"/>
      <c r="X43" s="138"/>
      <c r="Y43" s="139"/>
      <c r="Z43" s="140"/>
      <c r="AA43" s="144"/>
      <c r="AB43" s="145"/>
      <c r="AC43" s="146"/>
    </row>
    <row r="44" spans="2:30">
      <c r="B44" s="89"/>
      <c r="C44" s="132" t="s">
        <v>69</v>
      </c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4"/>
      <c r="U44" s="135" t="s">
        <v>70</v>
      </c>
      <c r="V44" s="136"/>
      <c r="W44" s="137"/>
      <c r="X44" s="138"/>
      <c r="Y44" s="139"/>
      <c r="Z44" s="140"/>
      <c r="AA44" s="147"/>
      <c r="AB44" s="148"/>
      <c r="AC44" s="149"/>
    </row>
    <row r="45" spans="2:30" ht="15.75" thickBot="1">
      <c r="B45" s="90"/>
      <c r="C45" s="109" t="s">
        <v>71</v>
      </c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1"/>
      <c r="U45" s="112" t="s">
        <v>35</v>
      </c>
      <c r="V45" s="112"/>
      <c r="W45" s="112"/>
      <c r="X45" s="113"/>
      <c r="Y45" s="114"/>
      <c r="Z45" s="115"/>
      <c r="AA45" s="114">
        <f>(SUM(Y25:Z32)+SUM(Y42:Z45))/12</f>
        <v>0</v>
      </c>
      <c r="AB45" s="116"/>
      <c r="AC45" s="115"/>
    </row>
    <row r="46" spans="2:30">
      <c r="B46" s="117" t="s">
        <v>72</v>
      </c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9"/>
      <c r="U46" s="123" t="s">
        <v>73</v>
      </c>
      <c r="V46" s="124"/>
      <c r="W46" s="124"/>
      <c r="X46" s="124"/>
      <c r="Y46" s="124"/>
      <c r="Z46" s="124"/>
      <c r="AA46" s="124"/>
      <c r="AB46" s="124"/>
      <c r="AC46" s="125"/>
    </row>
    <row r="47" spans="2:30" ht="15.75" thickBot="1">
      <c r="B47" s="120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2"/>
      <c r="U47" s="126" t="s">
        <v>74</v>
      </c>
      <c r="V47" s="127"/>
      <c r="W47" s="127"/>
      <c r="X47" s="128"/>
      <c r="Y47" s="129" t="s">
        <v>75</v>
      </c>
      <c r="Z47" s="130"/>
      <c r="AA47" s="129" t="s">
        <v>76</v>
      </c>
      <c r="AB47" s="131"/>
      <c r="AC47" s="130"/>
    </row>
    <row r="48" spans="2:30">
      <c r="B48" s="88" t="s">
        <v>77</v>
      </c>
      <c r="C48" s="91" t="s">
        <v>78</v>
      </c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3"/>
      <c r="U48" s="94"/>
      <c r="V48" s="95"/>
      <c r="W48" s="95"/>
      <c r="X48" s="96"/>
      <c r="Y48" s="97"/>
      <c r="Z48" s="98"/>
      <c r="AA48" s="97"/>
      <c r="AB48" s="99"/>
      <c r="AC48" s="98"/>
    </row>
    <row r="49" spans="1:30" ht="30" customHeight="1">
      <c r="B49" s="89"/>
      <c r="C49" s="70" t="s">
        <v>79</v>
      </c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2"/>
      <c r="U49" s="73"/>
      <c r="V49" s="74"/>
      <c r="W49" s="74"/>
      <c r="X49" s="75"/>
      <c r="Y49" s="76"/>
      <c r="Z49" s="77"/>
      <c r="AA49" s="76"/>
      <c r="AB49" s="78"/>
      <c r="AC49" s="77"/>
    </row>
    <row r="50" spans="1:30" ht="33" customHeight="1">
      <c r="B50" s="89"/>
      <c r="C50" s="70" t="s">
        <v>80</v>
      </c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2"/>
      <c r="U50" s="73"/>
      <c r="V50" s="74"/>
      <c r="W50" s="74"/>
      <c r="X50" s="75"/>
      <c r="Y50" s="76"/>
      <c r="Z50" s="77"/>
      <c r="AA50" s="76"/>
      <c r="AB50" s="78"/>
      <c r="AC50" s="77"/>
    </row>
    <row r="51" spans="1:30" ht="29.25" customHeight="1">
      <c r="B51" s="89"/>
      <c r="C51" s="70" t="s">
        <v>81</v>
      </c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2"/>
      <c r="U51" s="73"/>
      <c r="V51" s="74"/>
      <c r="W51" s="74"/>
      <c r="X51" s="75"/>
      <c r="Y51" s="76"/>
      <c r="Z51" s="77"/>
      <c r="AA51" s="76"/>
      <c r="AB51" s="78"/>
      <c r="AC51" s="77"/>
    </row>
    <row r="52" spans="1:30" ht="27.75" customHeight="1">
      <c r="B52" s="89"/>
      <c r="C52" s="70" t="s">
        <v>82</v>
      </c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2"/>
      <c r="U52" s="73"/>
      <c r="V52" s="74"/>
      <c r="W52" s="74"/>
      <c r="X52" s="75"/>
      <c r="Y52" s="76"/>
      <c r="Z52" s="77"/>
      <c r="AA52" s="76"/>
      <c r="AB52" s="78"/>
      <c r="AC52" s="77"/>
    </row>
    <row r="53" spans="1:30" ht="27" customHeight="1" thickBot="1">
      <c r="B53" s="90"/>
      <c r="C53" s="79" t="s">
        <v>83</v>
      </c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1"/>
      <c r="U53" s="82"/>
      <c r="V53" s="83"/>
      <c r="W53" s="83"/>
      <c r="X53" s="84"/>
      <c r="Y53" s="85"/>
      <c r="Z53" s="86"/>
      <c r="AA53" s="85"/>
      <c r="AB53" s="87"/>
      <c r="AC53" s="86"/>
    </row>
    <row r="54" spans="1:30" ht="15.75" thickBot="1">
      <c r="B54" s="24"/>
      <c r="C54" s="25"/>
      <c r="D54" s="25"/>
      <c r="E54" s="25"/>
      <c r="F54" s="61" t="s">
        <v>84</v>
      </c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2"/>
      <c r="U54" s="63">
        <f>SUM(U48:X53)/6</f>
        <v>0</v>
      </c>
      <c r="V54" s="64"/>
      <c r="W54" s="64"/>
      <c r="X54" s="64"/>
      <c r="Y54" s="65">
        <f>SUM(Y48:Y53)/6</f>
        <v>0</v>
      </c>
      <c r="Z54" s="66"/>
      <c r="AA54" s="64">
        <f>SUM(AA48:AA53)/6</f>
        <v>0</v>
      </c>
      <c r="AB54" s="64"/>
      <c r="AC54" s="67"/>
    </row>
    <row r="55" spans="1:30" ht="37.5" customHeight="1">
      <c r="C55" s="21"/>
      <c r="D55" s="21"/>
      <c r="E55" s="21"/>
      <c r="F55" s="21"/>
      <c r="G55" s="302" t="str">
        <f>_xlfn.CONCAT('ESTUDIANTE 1'!G56:W56)</f>
        <v>ING. JULIO LARA GARCÍA</v>
      </c>
      <c r="H55" s="302"/>
      <c r="I55" s="302"/>
      <c r="J55" s="302"/>
      <c r="K55" s="302"/>
      <c r="L55" s="302"/>
      <c r="M55" s="302"/>
      <c r="N55" s="302"/>
      <c r="O55" s="302"/>
      <c r="P55" s="302"/>
      <c r="Q55" s="302"/>
      <c r="R55" s="302"/>
      <c r="S55" s="302"/>
      <c r="T55" s="302"/>
      <c r="U55" s="302"/>
      <c r="V55" s="302"/>
      <c r="W55" s="302"/>
      <c r="X55" s="17"/>
    </row>
    <row r="56" spans="1:30" ht="15" customHeight="1">
      <c r="G56" s="69" t="s">
        <v>86</v>
      </c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18"/>
      <c r="Y56" s="18"/>
      <c r="AD56" s="19"/>
    </row>
    <row r="57" spans="1:30" ht="25.9" customHeight="1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30" ht="13.5" customHeight="1">
      <c r="A58" s="20" t="s">
        <v>87</v>
      </c>
    </row>
    <row r="59" spans="1:30" ht="13.5" customHeight="1">
      <c r="A59" s="20" t="s">
        <v>88</v>
      </c>
    </row>
  </sheetData>
  <protectedRanges>
    <protectedRange sqref="AB35:AC47 AA33 AC54 AA37:AA38 AA42 U46:Z47 Y25:Z45 AA40:AA41 AA44:AA47" name="Rango1_1"/>
    <protectedRange sqref="U25:X45" name="Rango1_1_1"/>
    <protectedRange sqref="U48:AC53" name="Rango1_1_3"/>
  </protectedRanges>
  <dataConsolidate/>
  <mergeCells count="142">
    <mergeCell ref="F54:T54"/>
    <mergeCell ref="C44:T44"/>
    <mergeCell ref="C43:T43"/>
    <mergeCell ref="AA42:AC44"/>
    <mergeCell ref="C42:T42"/>
    <mergeCell ref="B46:T47"/>
    <mergeCell ref="U54:X54"/>
    <mergeCell ref="Y54:Z54"/>
    <mergeCell ref="Y48:Z48"/>
    <mergeCell ref="Y49:Z49"/>
    <mergeCell ref="Y50:Z50"/>
    <mergeCell ref="Y51:Z51"/>
    <mergeCell ref="Y52:Z52"/>
    <mergeCell ref="Y53:Z53"/>
    <mergeCell ref="AD35:AD36"/>
    <mergeCell ref="U50:X50"/>
    <mergeCell ref="U51:X51"/>
    <mergeCell ref="U52:X52"/>
    <mergeCell ref="U53:X53"/>
    <mergeCell ref="U46:AC46"/>
    <mergeCell ref="U47:X47"/>
    <mergeCell ref="Y47:Z47"/>
    <mergeCell ref="AA47:AC47"/>
    <mergeCell ref="U44:X44"/>
    <mergeCell ref="Y44:Z44"/>
    <mergeCell ref="AA37:AC37"/>
    <mergeCell ref="AA33:AC36"/>
    <mergeCell ref="AA38:AC40"/>
    <mergeCell ref="U42:X42"/>
    <mergeCell ref="Y42:Z42"/>
    <mergeCell ref="U40:X40"/>
    <mergeCell ref="Y40:Z40"/>
    <mergeCell ref="AA48:AC48"/>
    <mergeCell ref="AA49:AC49"/>
    <mergeCell ref="AA50:AC50"/>
    <mergeCell ref="AA51:AC51"/>
    <mergeCell ref="AA52:AC52"/>
    <mergeCell ref="AA53:AC53"/>
    <mergeCell ref="AB3:AC3"/>
    <mergeCell ref="G5:H6"/>
    <mergeCell ref="P5:Q6"/>
    <mergeCell ref="X5:X6"/>
    <mergeCell ref="Y6:Z6"/>
    <mergeCell ref="AA6:AB6"/>
    <mergeCell ref="B9:E9"/>
    <mergeCell ref="I9:P9"/>
    <mergeCell ref="B10:E10"/>
    <mergeCell ref="I10:P10"/>
    <mergeCell ref="Y9:AC9"/>
    <mergeCell ref="AB10:AC10"/>
    <mergeCell ref="AB12:AC12"/>
    <mergeCell ref="AB13:AC13"/>
    <mergeCell ref="AB11:AC11"/>
    <mergeCell ref="C12:W12"/>
    <mergeCell ref="D13:W13"/>
    <mergeCell ref="B17:C17"/>
    <mergeCell ref="D17:X17"/>
    <mergeCell ref="B18:AC18"/>
    <mergeCell ref="AA8:AB8"/>
    <mergeCell ref="B19:B22"/>
    <mergeCell ref="C19:T22"/>
    <mergeCell ref="U19:X22"/>
    <mergeCell ref="Y19:Z22"/>
    <mergeCell ref="AA19:AC22"/>
    <mergeCell ref="AB14:AC14"/>
    <mergeCell ref="B15:C15"/>
    <mergeCell ref="D15:AC15"/>
    <mergeCell ref="B16:C16"/>
    <mergeCell ref="D16:AC16"/>
    <mergeCell ref="C14:W14"/>
    <mergeCell ref="B23:B32"/>
    <mergeCell ref="C23:T23"/>
    <mergeCell ref="U23:X23"/>
    <mergeCell ref="Y23:Z23"/>
    <mergeCell ref="C24:T24"/>
    <mergeCell ref="U24:X24"/>
    <mergeCell ref="Y24:Z24"/>
    <mergeCell ref="C25:T25"/>
    <mergeCell ref="C27:T27"/>
    <mergeCell ref="Y27:Z27"/>
    <mergeCell ref="C28:T28"/>
    <mergeCell ref="Y28:Z28"/>
    <mergeCell ref="Y25:Z25"/>
    <mergeCell ref="C26:T26"/>
    <mergeCell ref="Y26:Z26"/>
    <mergeCell ref="C31:T31"/>
    <mergeCell ref="Y31:Z31"/>
    <mergeCell ref="C32:T32"/>
    <mergeCell ref="Y32:Z32"/>
    <mergeCell ref="C29:T29"/>
    <mergeCell ref="Y29:Z29"/>
    <mergeCell ref="C30:T30"/>
    <mergeCell ref="Y30:Z30"/>
    <mergeCell ref="U25:X32"/>
    <mergeCell ref="B38:B41"/>
    <mergeCell ref="C38:T38"/>
    <mergeCell ref="U38:X38"/>
    <mergeCell ref="Y38:Z38"/>
    <mergeCell ref="C35:T35"/>
    <mergeCell ref="U35:X35"/>
    <mergeCell ref="Y35:Z35"/>
    <mergeCell ref="C36:T36"/>
    <mergeCell ref="U36:X36"/>
    <mergeCell ref="Y36:Z36"/>
    <mergeCell ref="B33:B37"/>
    <mergeCell ref="C33:T33"/>
    <mergeCell ref="U33:X33"/>
    <mergeCell ref="Y33:Z33"/>
    <mergeCell ref="C34:T34"/>
    <mergeCell ref="U34:X34"/>
    <mergeCell ref="Y34:Z34"/>
    <mergeCell ref="C37:T37"/>
    <mergeCell ref="U37:X37"/>
    <mergeCell ref="Y37:Z37"/>
    <mergeCell ref="C39:T39"/>
    <mergeCell ref="U39:X39"/>
    <mergeCell ref="Y39:Z39"/>
    <mergeCell ref="C40:T40"/>
    <mergeCell ref="AA23:AC32"/>
    <mergeCell ref="G55:W55"/>
    <mergeCell ref="G56:W56"/>
    <mergeCell ref="C45:T45"/>
    <mergeCell ref="U45:X45"/>
    <mergeCell ref="Y45:Z45"/>
    <mergeCell ref="AA45:AC45"/>
    <mergeCell ref="AA54:AC54"/>
    <mergeCell ref="B42:B45"/>
    <mergeCell ref="U43:X43"/>
    <mergeCell ref="Y43:Z43"/>
    <mergeCell ref="B48:B53"/>
    <mergeCell ref="C48:T48"/>
    <mergeCell ref="C49:T49"/>
    <mergeCell ref="C50:T50"/>
    <mergeCell ref="C51:T51"/>
    <mergeCell ref="C52:T52"/>
    <mergeCell ref="C53:T53"/>
    <mergeCell ref="U48:X48"/>
    <mergeCell ref="U49:X49"/>
    <mergeCell ref="C41:T41"/>
    <mergeCell ref="U41:X41"/>
    <mergeCell ref="Y41:Z41"/>
    <mergeCell ref="AA41:AC4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6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F252-0837-4A23-A169-14EA004397AA}">
  <sheetPr>
    <pageSetUpPr fitToPage="1"/>
  </sheetPr>
  <dimension ref="A1:AD59"/>
  <sheetViews>
    <sheetView view="pageBreakPreview" zoomScaleNormal="100" zoomScaleSheetLayoutView="100" workbookViewId="0">
      <selection activeCell="Y54" sqref="Y54:Z54"/>
    </sheetView>
  </sheetViews>
  <sheetFormatPr defaultColWidth="11.42578125" defaultRowHeight="15"/>
  <cols>
    <col min="1" max="1" width="2.7109375" customWidth="1"/>
    <col min="2" max="2" width="16.85546875" customWidth="1"/>
    <col min="3" max="3" width="4" customWidth="1"/>
    <col min="4" max="5" width="2.5703125" customWidth="1"/>
    <col min="6" max="6" width="3.7109375" customWidth="1"/>
    <col min="7" max="7" width="2.5703125" customWidth="1"/>
    <col min="8" max="8" width="2.28515625" customWidth="1"/>
    <col min="9" max="9" width="2.5703125" customWidth="1"/>
    <col min="10" max="10" width="3" customWidth="1"/>
    <col min="11" max="12" width="2.5703125" customWidth="1"/>
    <col min="13" max="13" width="2" customWidth="1"/>
    <col min="14" max="18" width="2.5703125" customWidth="1"/>
    <col min="19" max="20" width="1.7109375" customWidth="1"/>
    <col min="21" max="21" width="2.7109375" customWidth="1"/>
    <col min="22" max="22" width="1.85546875" customWidth="1"/>
    <col min="23" max="23" width="2.5703125" customWidth="1"/>
    <col min="24" max="24" width="5.5703125" customWidth="1"/>
    <col min="25" max="25" width="3.85546875" customWidth="1"/>
    <col min="26" max="26" width="10.5703125" customWidth="1"/>
    <col min="27" max="27" width="4.7109375" customWidth="1"/>
    <col min="28" max="28" width="6.28515625" customWidth="1"/>
    <col min="29" max="29" width="3" customWidth="1"/>
    <col min="30" max="30" width="2.85546875" customWidth="1"/>
  </cols>
  <sheetData>
    <row r="1" spans="1:30" ht="31.5" customHeight="1"/>
    <row r="2" spans="1:30" ht="18.75">
      <c r="D2" s="1" t="s">
        <v>0</v>
      </c>
    </row>
    <row r="3" spans="1:30" ht="11.25" customHeight="1"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AB3" s="244"/>
      <c r="AC3" s="244"/>
    </row>
    <row r="4" spans="1:30">
      <c r="B4" s="3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30" ht="5.45" customHeight="1">
      <c r="G5" s="245" t="str">
        <f>IF(I10="Cuarto","X",IF(I10="Quinto","X",IF(I10="Sexto","X","")))</f>
        <v>X</v>
      </c>
      <c r="H5" s="246"/>
      <c r="P5" s="249" t="str">
        <f>IF(I10="Séptimo","X",IF(I10="Octavo","X",IF(I10="Noveno","X","")))</f>
        <v/>
      </c>
      <c r="Q5" s="250"/>
      <c r="X5" s="253" t="str">
        <f>IF(I10="Décimo","X","")</f>
        <v/>
      </c>
    </row>
    <row r="6" spans="1:30" ht="15" customHeight="1">
      <c r="C6" s="2" t="s">
        <v>2</v>
      </c>
      <c r="G6" s="247"/>
      <c r="H6" s="248"/>
      <c r="K6" s="2" t="s">
        <v>3</v>
      </c>
      <c r="P6" s="251"/>
      <c r="Q6" s="252"/>
      <c r="U6" s="2" t="s">
        <v>4</v>
      </c>
      <c r="X6" s="254"/>
      <c r="Y6" s="272" t="s">
        <v>5</v>
      </c>
      <c r="Z6" s="272"/>
      <c r="AA6" s="306" t="str">
        <f>_xlfn.CONCAT('ESTUDIANTE 1'!AA6:AB6)</f>
        <v/>
      </c>
      <c r="AB6" s="307"/>
    </row>
    <row r="7" spans="1:30" ht="10.5" customHeight="1" thickBot="1">
      <c r="G7" s="2"/>
      <c r="H7" s="2"/>
      <c r="L7" s="4"/>
      <c r="M7" s="4"/>
      <c r="U7" s="2"/>
      <c r="AA7" s="5"/>
      <c r="AB7" s="5"/>
    </row>
    <row r="8" spans="1:30" ht="20.25" customHeight="1" thickBot="1">
      <c r="A8" s="44"/>
      <c r="B8" s="44"/>
      <c r="C8" s="44"/>
      <c r="D8" s="44"/>
      <c r="E8" s="44"/>
      <c r="F8" s="44"/>
      <c r="G8" s="43"/>
      <c r="H8" s="43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3"/>
      <c r="V8" s="44"/>
      <c r="W8" s="44"/>
      <c r="X8" s="44"/>
      <c r="Y8" s="44"/>
      <c r="Z8" s="51" t="s">
        <v>6</v>
      </c>
      <c r="AA8" s="236" t="str">
        <f>_xlfn.CONCAT('ESTUDIANTE 1'!AA8:AB8)</f>
        <v/>
      </c>
      <c r="AB8" s="237"/>
      <c r="AC8" s="44"/>
    </row>
    <row r="9" spans="1:30" ht="14.25" customHeight="1" thickBot="1">
      <c r="A9" s="44"/>
      <c r="B9" s="238" t="s">
        <v>7</v>
      </c>
      <c r="C9" s="238"/>
      <c r="D9" s="238"/>
      <c r="E9" s="238"/>
      <c r="F9" s="29"/>
      <c r="G9" s="29"/>
      <c r="H9" s="29"/>
      <c r="I9" s="239" t="s">
        <v>8</v>
      </c>
      <c r="J9" s="239"/>
      <c r="K9" s="239"/>
      <c r="L9" s="239"/>
      <c r="M9" s="239"/>
      <c r="N9" s="239"/>
      <c r="O9" s="239"/>
      <c r="P9" s="239"/>
      <c r="Q9" s="29"/>
      <c r="R9" s="29"/>
      <c r="S9" s="29"/>
      <c r="T9" s="29"/>
      <c r="U9" s="29"/>
      <c r="V9" s="29"/>
      <c r="W9" s="29"/>
      <c r="X9" s="52"/>
      <c r="Y9" s="258" t="s">
        <v>9</v>
      </c>
      <c r="Z9" s="259"/>
      <c r="AA9" s="259"/>
      <c r="AB9" s="259"/>
      <c r="AC9" s="260"/>
      <c r="AD9" s="7"/>
    </row>
    <row r="10" spans="1:30" ht="14.25" customHeight="1">
      <c r="A10" s="44"/>
      <c r="B10" s="240" t="str">
        <f>_xlfn.CONCAT('ESTUDIANTE 1'!B10:E10)</f>
        <v>Septiembre-Diciembre 2025</v>
      </c>
      <c r="C10" s="241"/>
      <c r="D10" s="241"/>
      <c r="E10" s="242"/>
      <c r="F10" s="53"/>
      <c r="G10" s="53"/>
      <c r="H10" s="53"/>
      <c r="I10" s="243" t="str">
        <f>_xlfn.CONCAT('ESTUDIANTE 1'!I10:P10)</f>
        <v>Sexto</v>
      </c>
      <c r="J10" s="243"/>
      <c r="K10" s="243"/>
      <c r="L10" s="243"/>
      <c r="M10" s="243"/>
      <c r="N10" s="243"/>
      <c r="O10" s="243"/>
      <c r="P10" s="243"/>
      <c r="Q10" s="54"/>
      <c r="R10" s="54"/>
      <c r="S10" s="54"/>
      <c r="T10" s="54"/>
      <c r="U10" s="54"/>
      <c r="V10" s="54"/>
      <c r="W10" s="54"/>
      <c r="X10" s="44"/>
      <c r="Y10" s="55" t="s">
        <v>12</v>
      </c>
      <c r="Z10" s="56"/>
      <c r="AA10" s="57"/>
      <c r="AB10" s="227">
        <v>10</v>
      </c>
      <c r="AC10" s="228"/>
    </row>
    <row r="11" spans="1:30" ht="14.25" customHeight="1">
      <c r="A11" s="44"/>
      <c r="B11" s="44"/>
      <c r="C11" s="43"/>
      <c r="D11" s="43"/>
      <c r="E11" s="43"/>
      <c r="F11" s="29"/>
      <c r="G11" s="29"/>
      <c r="H11" s="29"/>
      <c r="I11" s="29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44"/>
      <c r="Y11" s="58" t="s">
        <v>13</v>
      </c>
      <c r="Z11" s="44"/>
      <c r="AA11" s="44"/>
      <c r="AB11" s="227">
        <v>9</v>
      </c>
      <c r="AC11" s="228"/>
    </row>
    <row r="12" spans="1:30" ht="14.25" customHeight="1">
      <c r="A12" s="44"/>
      <c r="B12" s="43" t="s">
        <v>14</v>
      </c>
      <c r="C12" s="229"/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44"/>
      <c r="Y12" s="45" t="s">
        <v>15</v>
      </c>
      <c r="Z12" s="46"/>
      <c r="AA12" s="46"/>
      <c r="AB12" s="230">
        <v>8</v>
      </c>
      <c r="AC12" s="231"/>
    </row>
    <row r="13" spans="1:30" ht="14.25" customHeight="1">
      <c r="A13" s="44"/>
      <c r="B13" s="29" t="s">
        <v>16</v>
      </c>
      <c r="C13" s="22"/>
      <c r="D13" s="232"/>
      <c r="E13" s="232"/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X13" s="44"/>
      <c r="Y13" s="47" t="s">
        <v>17</v>
      </c>
      <c r="Z13" s="44"/>
      <c r="AA13" s="44"/>
      <c r="AB13" s="227">
        <v>7</v>
      </c>
      <c r="AC13" s="228"/>
    </row>
    <row r="14" spans="1:30" ht="14.25" customHeight="1" thickBot="1">
      <c r="A14" s="44"/>
      <c r="B14" s="22" t="s">
        <v>18</v>
      </c>
      <c r="C14" s="235" t="str">
        <f>_xlfn.CONCAT('ESTUDIANTE 1'!C14:U14)</f>
        <v>INGENIERÍA EN SOFTWARE</v>
      </c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44"/>
      <c r="Y14" s="48" t="s">
        <v>20</v>
      </c>
      <c r="Z14" s="49"/>
      <c r="AA14" s="49"/>
      <c r="AB14" s="233">
        <v>6</v>
      </c>
      <c r="AC14" s="234"/>
    </row>
    <row r="15" spans="1:30" ht="36.75" customHeight="1">
      <c r="A15" s="44"/>
      <c r="B15" s="222" t="s">
        <v>21</v>
      </c>
      <c r="C15" s="222"/>
      <c r="D15" s="223" t="str">
        <f>_xlfn.CONCAT('ESTUDIANTE 1'!D15:AC15)</f>
        <v/>
      </c>
      <c r="E15" s="223"/>
      <c r="F15" s="223"/>
      <c r="G15" s="223"/>
      <c r="H15" s="223"/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3"/>
      <c r="T15" s="223"/>
      <c r="U15" s="223"/>
      <c r="V15" s="223"/>
      <c r="W15" s="223"/>
      <c r="X15" s="223"/>
      <c r="Y15" s="223"/>
      <c r="Z15" s="223"/>
      <c r="AA15" s="223"/>
      <c r="AB15" s="223"/>
      <c r="AC15" s="223"/>
    </row>
    <row r="16" spans="1:30" ht="16.149999999999999" customHeight="1">
      <c r="A16" s="44"/>
      <c r="B16" s="224" t="s">
        <v>22</v>
      </c>
      <c r="C16" s="224"/>
      <c r="D16" s="225" t="str">
        <f>_xlfn.CONCAT('ESTUDIANTE 1'!D16:AC16)</f>
        <v/>
      </c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  <c r="AA16" s="225"/>
      <c r="AB16" s="225"/>
      <c r="AC16" s="225"/>
    </row>
    <row r="17" spans="1:29" ht="16.149999999999999" customHeight="1">
      <c r="A17" s="44"/>
      <c r="B17" s="224" t="s">
        <v>23</v>
      </c>
      <c r="C17" s="224"/>
      <c r="D17" s="226" t="str">
        <f>_xlfn.CONCAT('ESTUDIANTE 1'!D17:X17)</f>
        <v/>
      </c>
      <c r="E17" s="226"/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"/>
      <c r="Z17" s="22"/>
      <c r="AA17" s="22"/>
      <c r="AB17" s="22"/>
      <c r="AC17" s="50"/>
    </row>
    <row r="18" spans="1:29" ht="24.6" customHeight="1" thickBot="1">
      <c r="A18" s="44"/>
      <c r="B18" s="191" t="s">
        <v>24</v>
      </c>
      <c r="C18" s="191"/>
      <c r="D18" s="191"/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</row>
    <row r="19" spans="1:29" ht="15.75" customHeight="1" thickBot="1">
      <c r="A19" s="44"/>
      <c r="B19" s="192" t="s">
        <v>25</v>
      </c>
      <c r="C19" s="195" t="s">
        <v>26</v>
      </c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7"/>
      <c r="U19" s="204" t="s">
        <v>27</v>
      </c>
      <c r="V19" s="205"/>
      <c r="W19" s="205"/>
      <c r="X19" s="206"/>
      <c r="Y19" s="213" t="s">
        <v>28</v>
      </c>
      <c r="Z19" s="214"/>
      <c r="AA19" s="219" t="s">
        <v>29</v>
      </c>
      <c r="AB19" s="220"/>
      <c r="AC19" s="221"/>
    </row>
    <row r="20" spans="1:29" ht="15.75" thickBot="1">
      <c r="A20" s="44"/>
      <c r="B20" s="193"/>
      <c r="C20" s="198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200"/>
      <c r="U20" s="207"/>
      <c r="V20" s="208"/>
      <c r="W20" s="208"/>
      <c r="X20" s="209"/>
      <c r="Y20" s="215"/>
      <c r="Z20" s="216"/>
      <c r="AA20" s="219"/>
      <c r="AB20" s="220"/>
      <c r="AC20" s="221"/>
    </row>
    <row r="21" spans="1:29" ht="41.45" customHeight="1" thickBot="1">
      <c r="A21" s="44"/>
      <c r="B21" s="193"/>
      <c r="C21" s="198"/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200"/>
      <c r="U21" s="207"/>
      <c r="V21" s="208"/>
      <c r="W21" s="208"/>
      <c r="X21" s="209"/>
      <c r="Y21" s="215"/>
      <c r="Z21" s="216"/>
      <c r="AA21" s="219"/>
      <c r="AB21" s="220"/>
      <c r="AC21" s="221"/>
    </row>
    <row r="22" spans="1:29" ht="3.75" customHeight="1" thickBot="1">
      <c r="A22" s="44"/>
      <c r="B22" s="194"/>
      <c r="C22" s="201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3"/>
      <c r="U22" s="210"/>
      <c r="V22" s="211"/>
      <c r="W22" s="211"/>
      <c r="X22" s="212"/>
      <c r="Y22" s="217"/>
      <c r="Z22" s="218"/>
      <c r="AA22" s="219"/>
      <c r="AB22" s="220"/>
      <c r="AC22" s="221"/>
    </row>
    <row r="23" spans="1:29">
      <c r="A23" s="44"/>
      <c r="B23" s="89" t="s">
        <v>30</v>
      </c>
      <c r="C23" s="100" t="s">
        <v>31</v>
      </c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2"/>
      <c r="U23" s="103"/>
      <c r="V23" s="104"/>
      <c r="W23" s="105"/>
      <c r="X23" s="106"/>
      <c r="Y23" s="165"/>
      <c r="Z23" s="166"/>
      <c r="AA23" s="176" t="s">
        <v>32</v>
      </c>
      <c r="AB23" s="177"/>
      <c r="AC23" s="178"/>
    </row>
    <row r="24" spans="1:29">
      <c r="A24" s="44"/>
      <c r="B24" s="89"/>
      <c r="C24" s="132" t="s">
        <v>33</v>
      </c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85"/>
      <c r="V24" s="186"/>
      <c r="W24" s="187"/>
      <c r="X24" s="188"/>
      <c r="Y24" s="189"/>
      <c r="Z24" s="190"/>
      <c r="AA24" s="179"/>
      <c r="AB24" s="180"/>
      <c r="AC24" s="181"/>
    </row>
    <row r="25" spans="1:29">
      <c r="A25" s="44"/>
      <c r="B25" s="89"/>
      <c r="C25" s="132" t="s">
        <v>34</v>
      </c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67" t="s">
        <v>35</v>
      </c>
      <c r="V25" s="168"/>
      <c r="W25" s="168"/>
      <c r="X25" s="169"/>
      <c r="Y25" s="139"/>
      <c r="Z25" s="140"/>
      <c r="AA25" s="179"/>
      <c r="AB25" s="180"/>
      <c r="AC25" s="181"/>
    </row>
    <row r="26" spans="1:29">
      <c r="A26" s="44"/>
      <c r="B26" s="89"/>
      <c r="C26" s="132" t="s">
        <v>36</v>
      </c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4"/>
      <c r="U26" s="170"/>
      <c r="V26" s="171"/>
      <c r="W26" s="171"/>
      <c r="X26" s="172"/>
      <c r="Y26" s="139"/>
      <c r="Z26" s="140"/>
      <c r="AA26" s="179"/>
      <c r="AB26" s="180"/>
      <c r="AC26" s="181"/>
    </row>
    <row r="27" spans="1:29">
      <c r="A27" s="44"/>
      <c r="B27" s="89"/>
      <c r="C27" s="132" t="s">
        <v>37</v>
      </c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4"/>
      <c r="U27" s="170"/>
      <c r="V27" s="171"/>
      <c r="W27" s="171"/>
      <c r="X27" s="172"/>
      <c r="Y27" s="139"/>
      <c r="Z27" s="140"/>
      <c r="AA27" s="179"/>
      <c r="AB27" s="180"/>
      <c r="AC27" s="181"/>
    </row>
    <row r="28" spans="1:29">
      <c r="A28" s="44"/>
      <c r="B28" s="89"/>
      <c r="C28" s="132" t="s">
        <v>38</v>
      </c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4"/>
      <c r="U28" s="170"/>
      <c r="V28" s="171"/>
      <c r="W28" s="171"/>
      <c r="X28" s="172"/>
      <c r="Y28" s="139"/>
      <c r="Z28" s="140"/>
      <c r="AA28" s="179"/>
      <c r="AB28" s="180"/>
      <c r="AC28" s="181"/>
    </row>
    <row r="29" spans="1:29">
      <c r="A29" s="44"/>
      <c r="B29" s="89"/>
      <c r="C29" s="132" t="s">
        <v>39</v>
      </c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4"/>
      <c r="U29" s="170"/>
      <c r="V29" s="171"/>
      <c r="W29" s="171"/>
      <c r="X29" s="172"/>
      <c r="Y29" s="139"/>
      <c r="Z29" s="140"/>
      <c r="AA29" s="179"/>
      <c r="AB29" s="180"/>
      <c r="AC29" s="181"/>
    </row>
    <row r="30" spans="1:29">
      <c r="A30" s="44"/>
      <c r="B30" s="89"/>
      <c r="C30" s="132" t="s">
        <v>40</v>
      </c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4"/>
      <c r="U30" s="170"/>
      <c r="V30" s="171"/>
      <c r="W30" s="171"/>
      <c r="X30" s="172"/>
      <c r="Y30" s="139"/>
      <c r="Z30" s="140"/>
      <c r="AA30" s="179"/>
      <c r="AB30" s="180"/>
      <c r="AC30" s="181"/>
    </row>
    <row r="31" spans="1:29">
      <c r="A31" s="44"/>
      <c r="B31" s="89"/>
      <c r="C31" s="132" t="s">
        <v>41</v>
      </c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4"/>
      <c r="U31" s="170"/>
      <c r="V31" s="171"/>
      <c r="W31" s="171"/>
      <c r="X31" s="172"/>
      <c r="Y31" s="139"/>
      <c r="Z31" s="140"/>
      <c r="AA31" s="179"/>
      <c r="AB31" s="180"/>
      <c r="AC31" s="181"/>
    </row>
    <row r="32" spans="1:29" ht="15.75" thickBot="1">
      <c r="A32" s="44"/>
      <c r="B32" s="89"/>
      <c r="C32" s="109" t="s">
        <v>42</v>
      </c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1"/>
      <c r="U32" s="173"/>
      <c r="V32" s="174"/>
      <c r="W32" s="174"/>
      <c r="X32" s="175"/>
      <c r="Y32" s="114"/>
      <c r="Z32" s="115"/>
      <c r="AA32" s="182"/>
      <c r="AB32" s="183"/>
      <c r="AC32" s="184"/>
    </row>
    <row r="33" spans="1:30" ht="15" customHeight="1">
      <c r="A33" s="44"/>
      <c r="B33" s="88" t="s">
        <v>43</v>
      </c>
      <c r="C33" s="100" t="s">
        <v>44</v>
      </c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2"/>
      <c r="U33" s="164" t="s">
        <v>45</v>
      </c>
      <c r="V33" s="154"/>
      <c r="W33" s="155"/>
      <c r="X33" s="156"/>
      <c r="Y33" s="107"/>
      <c r="Z33" s="108"/>
      <c r="AA33" s="141" t="s">
        <v>46</v>
      </c>
      <c r="AB33" s="142"/>
      <c r="AC33" s="143"/>
    </row>
    <row r="34" spans="1:30">
      <c r="A34" s="44"/>
      <c r="B34" s="89"/>
      <c r="C34" s="132" t="s">
        <v>47</v>
      </c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4"/>
      <c r="U34" s="162" t="s">
        <v>48</v>
      </c>
      <c r="V34" s="136"/>
      <c r="W34" s="137"/>
      <c r="X34" s="138"/>
      <c r="Y34" s="139"/>
      <c r="Z34" s="140"/>
      <c r="AA34" s="144"/>
      <c r="AB34" s="145"/>
      <c r="AC34" s="146"/>
    </row>
    <row r="35" spans="1:30">
      <c r="A35" s="44"/>
      <c r="B35" s="89"/>
      <c r="C35" s="132" t="s">
        <v>49</v>
      </c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4"/>
      <c r="U35" s="162" t="s">
        <v>50</v>
      </c>
      <c r="V35" s="136"/>
      <c r="W35" s="137"/>
      <c r="X35" s="138"/>
      <c r="Y35" s="139"/>
      <c r="Z35" s="140"/>
      <c r="AA35" s="144"/>
      <c r="AB35" s="145"/>
      <c r="AC35" s="146"/>
      <c r="AD35" s="305"/>
    </row>
    <row r="36" spans="1:30">
      <c r="A36" s="44"/>
      <c r="B36" s="89"/>
      <c r="C36" s="132" t="s">
        <v>51</v>
      </c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4"/>
      <c r="U36" s="162" t="s">
        <v>52</v>
      </c>
      <c r="V36" s="136"/>
      <c r="W36" s="137"/>
      <c r="X36" s="138"/>
      <c r="Y36" s="139"/>
      <c r="Z36" s="140"/>
      <c r="AA36" s="147"/>
      <c r="AB36" s="148"/>
      <c r="AC36" s="149"/>
      <c r="AD36" s="305"/>
    </row>
    <row r="37" spans="1:30" ht="15.75" thickBot="1">
      <c r="A37" s="44"/>
      <c r="B37" s="90"/>
      <c r="C37" s="109" t="s">
        <v>53</v>
      </c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1"/>
      <c r="U37" s="163" t="s">
        <v>52</v>
      </c>
      <c r="V37" s="158"/>
      <c r="W37" s="159"/>
      <c r="X37" s="160"/>
      <c r="Y37" s="114"/>
      <c r="Z37" s="115"/>
      <c r="AA37" s="114">
        <f>SUM(Y33:Z37)/5</f>
        <v>0</v>
      </c>
      <c r="AB37" s="116"/>
      <c r="AC37" s="115"/>
    </row>
    <row r="38" spans="1:30" ht="15" customHeight="1">
      <c r="A38" s="44"/>
      <c r="B38" s="88" t="s">
        <v>54</v>
      </c>
      <c r="C38" s="150" t="s">
        <v>55</v>
      </c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2"/>
      <c r="U38" s="153" t="s">
        <v>56</v>
      </c>
      <c r="V38" s="154"/>
      <c r="W38" s="155"/>
      <c r="X38" s="156"/>
      <c r="Y38" s="107"/>
      <c r="Z38" s="108"/>
      <c r="AA38" s="141" t="s">
        <v>57</v>
      </c>
      <c r="AB38" s="142"/>
      <c r="AC38" s="143"/>
    </row>
    <row r="39" spans="1:30">
      <c r="A39" s="44"/>
      <c r="B39" s="89"/>
      <c r="C39" s="132" t="s">
        <v>58</v>
      </c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4"/>
      <c r="U39" s="135" t="s">
        <v>59</v>
      </c>
      <c r="V39" s="136"/>
      <c r="W39" s="137"/>
      <c r="X39" s="138"/>
      <c r="Y39" s="139"/>
      <c r="Z39" s="140"/>
      <c r="AA39" s="144"/>
      <c r="AB39" s="145"/>
      <c r="AC39" s="146"/>
    </row>
    <row r="40" spans="1:30">
      <c r="A40" s="44"/>
      <c r="B40" s="89"/>
      <c r="C40" s="132" t="s">
        <v>60</v>
      </c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4"/>
      <c r="U40" s="135" t="s">
        <v>61</v>
      </c>
      <c r="V40" s="136"/>
      <c r="W40" s="137"/>
      <c r="X40" s="138"/>
      <c r="Y40" s="139"/>
      <c r="Z40" s="140"/>
      <c r="AA40" s="147"/>
      <c r="AB40" s="148"/>
      <c r="AC40" s="149"/>
    </row>
    <row r="41" spans="1:30" ht="15.75" thickBot="1">
      <c r="A41" s="44"/>
      <c r="B41" s="90"/>
      <c r="C41" s="109" t="s">
        <v>62</v>
      </c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1"/>
      <c r="U41" s="157" t="s">
        <v>63</v>
      </c>
      <c r="V41" s="158"/>
      <c r="W41" s="159"/>
      <c r="X41" s="160"/>
      <c r="Y41" s="114"/>
      <c r="Z41" s="115"/>
      <c r="AA41" s="114">
        <f>SUM(Y38:Z41)/4</f>
        <v>0</v>
      </c>
      <c r="AB41" s="116"/>
      <c r="AC41" s="115"/>
    </row>
    <row r="42" spans="1:30">
      <c r="A42" s="44"/>
      <c r="B42" s="89" t="s">
        <v>30</v>
      </c>
      <c r="C42" s="100" t="s">
        <v>64</v>
      </c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2"/>
      <c r="U42" s="103" t="s">
        <v>65</v>
      </c>
      <c r="V42" s="104"/>
      <c r="W42" s="105"/>
      <c r="X42" s="106"/>
      <c r="Y42" s="107"/>
      <c r="Z42" s="108"/>
      <c r="AA42" s="141" t="s">
        <v>66</v>
      </c>
      <c r="AB42" s="142"/>
      <c r="AC42" s="143"/>
    </row>
    <row r="43" spans="1:30" ht="15" customHeight="1">
      <c r="A43" s="44"/>
      <c r="B43" s="89"/>
      <c r="C43" s="132" t="s">
        <v>67</v>
      </c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4"/>
      <c r="U43" s="135" t="s">
        <v>68</v>
      </c>
      <c r="V43" s="136"/>
      <c r="W43" s="137"/>
      <c r="X43" s="138"/>
      <c r="Y43" s="139"/>
      <c r="Z43" s="140"/>
      <c r="AA43" s="144"/>
      <c r="AB43" s="145"/>
      <c r="AC43" s="146"/>
    </row>
    <row r="44" spans="1:30">
      <c r="A44" s="44"/>
      <c r="B44" s="89"/>
      <c r="C44" s="132" t="s">
        <v>69</v>
      </c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4"/>
      <c r="U44" s="135" t="s">
        <v>70</v>
      </c>
      <c r="V44" s="136"/>
      <c r="W44" s="137"/>
      <c r="X44" s="138"/>
      <c r="Y44" s="139"/>
      <c r="Z44" s="140"/>
      <c r="AA44" s="147"/>
      <c r="AB44" s="148"/>
      <c r="AC44" s="149"/>
    </row>
    <row r="45" spans="1:30" ht="15.75" thickBot="1">
      <c r="A45" s="44"/>
      <c r="B45" s="90"/>
      <c r="C45" s="109" t="s">
        <v>71</v>
      </c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1"/>
      <c r="U45" s="112" t="s">
        <v>35</v>
      </c>
      <c r="V45" s="112"/>
      <c r="W45" s="112"/>
      <c r="X45" s="113"/>
      <c r="Y45" s="114"/>
      <c r="Z45" s="115"/>
      <c r="AA45" s="114">
        <f>(SUM(Y25:Z32)+SUM(Y42:Z45))/12</f>
        <v>0</v>
      </c>
      <c r="AB45" s="116"/>
      <c r="AC45" s="115"/>
    </row>
    <row r="46" spans="1:30">
      <c r="A46" s="44"/>
      <c r="B46" s="117" t="s">
        <v>72</v>
      </c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9"/>
      <c r="U46" s="123" t="s">
        <v>73</v>
      </c>
      <c r="V46" s="124"/>
      <c r="W46" s="124"/>
      <c r="X46" s="124"/>
      <c r="Y46" s="124"/>
      <c r="Z46" s="124"/>
      <c r="AA46" s="124"/>
      <c r="AB46" s="124"/>
      <c r="AC46" s="125"/>
    </row>
    <row r="47" spans="1:30" ht="15.75" thickBot="1">
      <c r="A47" s="44"/>
      <c r="B47" s="120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2"/>
      <c r="U47" s="126" t="s">
        <v>74</v>
      </c>
      <c r="V47" s="127"/>
      <c r="W47" s="127"/>
      <c r="X47" s="128"/>
      <c r="Y47" s="129" t="s">
        <v>75</v>
      </c>
      <c r="Z47" s="130"/>
      <c r="AA47" s="129" t="s">
        <v>76</v>
      </c>
      <c r="AB47" s="131"/>
      <c r="AC47" s="130"/>
    </row>
    <row r="48" spans="1:30">
      <c r="A48" s="44"/>
      <c r="B48" s="88" t="s">
        <v>77</v>
      </c>
      <c r="C48" s="91" t="s">
        <v>78</v>
      </c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3"/>
      <c r="U48" s="94"/>
      <c r="V48" s="95"/>
      <c r="W48" s="95"/>
      <c r="X48" s="96"/>
      <c r="Y48" s="97"/>
      <c r="Z48" s="98"/>
      <c r="AA48" s="97"/>
      <c r="AB48" s="99"/>
      <c r="AC48" s="98"/>
    </row>
    <row r="49" spans="1:30" ht="30" customHeight="1">
      <c r="A49" s="44"/>
      <c r="B49" s="89"/>
      <c r="C49" s="70" t="s">
        <v>79</v>
      </c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2"/>
      <c r="U49" s="73"/>
      <c r="V49" s="74"/>
      <c r="W49" s="74"/>
      <c r="X49" s="75"/>
      <c r="Y49" s="76"/>
      <c r="Z49" s="77"/>
      <c r="AA49" s="76"/>
      <c r="AB49" s="78"/>
      <c r="AC49" s="77"/>
    </row>
    <row r="50" spans="1:30" ht="33" customHeight="1">
      <c r="A50" s="44"/>
      <c r="B50" s="89"/>
      <c r="C50" s="70" t="s">
        <v>80</v>
      </c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2"/>
      <c r="U50" s="73"/>
      <c r="V50" s="74"/>
      <c r="W50" s="74"/>
      <c r="X50" s="75"/>
      <c r="Y50" s="76"/>
      <c r="Z50" s="77"/>
      <c r="AA50" s="76"/>
      <c r="AB50" s="78"/>
      <c r="AC50" s="77"/>
    </row>
    <row r="51" spans="1:30" ht="29.25" customHeight="1">
      <c r="A51" s="44"/>
      <c r="B51" s="89"/>
      <c r="C51" s="70" t="s">
        <v>81</v>
      </c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2"/>
      <c r="U51" s="73"/>
      <c r="V51" s="74"/>
      <c r="W51" s="74"/>
      <c r="X51" s="75"/>
      <c r="Y51" s="76"/>
      <c r="Z51" s="77"/>
      <c r="AA51" s="76"/>
      <c r="AB51" s="78"/>
      <c r="AC51" s="77"/>
    </row>
    <row r="52" spans="1:30" ht="27.75" customHeight="1">
      <c r="A52" s="44"/>
      <c r="B52" s="89"/>
      <c r="C52" s="70" t="s">
        <v>82</v>
      </c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2"/>
      <c r="U52" s="73"/>
      <c r="V52" s="74"/>
      <c r="W52" s="74"/>
      <c r="X52" s="75"/>
      <c r="Y52" s="76"/>
      <c r="Z52" s="77"/>
      <c r="AA52" s="76"/>
      <c r="AB52" s="78"/>
      <c r="AC52" s="77"/>
    </row>
    <row r="53" spans="1:30" ht="27" customHeight="1" thickBot="1">
      <c r="A53" s="44"/>
      <c r="B53" s="90"/>
      <c r="C53" s="79" t="s">
        <v>83</v>
      </c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1"/>
      <c r="U53" s="82"/>
      <c r="V53" s="83"/>
      <c r="W53" s="83"/>
      <c r="X53" s="84"/>
      <c r="Y53" s="85"/>
      <c r="Z53" s="86"/>
      <c r="AA53" s="85"/>
      <c r="AB53" s="87"/>
      <c r="AC53" s="86"/>
    </row>
    <row r="54" spans="1:30" ht="15.75" thickBot="1">
      <c r="A54" s="44"/>
      <c r="B54" s="24"/>
      <c r="C54" s="25"/>
      <c r="D54" s="25"/>
      <c r="E54" s="25"/>
      <c r="F54" s="61" t="s">
        <v>84</v>
      </c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2"/>
      <c r="U54" s="63">
        <f>SUM(U48:X53)/6</f>
        <v>0</v>
      </c>
      <c r="V54" s="64"/>
      <c r="W54" s="64"/>
      <c r="X54" s="64"/>
      <c r="Y54" s="65">
        <f>SUM(Y48:Y53)/6</f>
        <v>0</v>
      </c>
      <c r="Z54" s="66"/>
      <c r="AA54" s="64">
        <f>SUM(AA48:AA53)/6</f>
        <v>0</v>
      </c>
      <c r="AB54" s="64"/>
      <c r="AC54" s="67"/>
    </row>
    <row r="55" spans="1:30" ht="37.5" customHeight="1">
      <c r="C55" s="21"/>
      <c r="D55" s="21"/>
      <c r="E55" s="21"/>
      <c r="F55" s="21"/>
      <c r="G55" s="68" t="str">
        <f>_xlfn.CONCAT('ESTUDIANTE 1'!G56:W56)</f>
        <v>ING. JULIO LARA GARCÍA</v>
      </c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17"/>
    </row>
    <row r="56" spans="1:30" ht="15" customHeight="1">
      <c r="G56" s="69" t="s">
        <v>86</v>
      </c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18"/>
      <c r="Y56" s="18"/>
      <c r="AD56" s="19"/>
    </row>
    <row r="57" spans="1:30" ht="25.9" customHeight="1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30" ht="13.5" customHeight="1">
      <c r="A58" s="20" t="s">
        <v>87</v>
      </c>
    </row>
    <row r="59" spans="1:30" ht="13.5" customHeight="1">
      <c r="A59" s="20" t="s">
        <v>88</v>
      </c>
    </row>
  </sheetData>
  <protectedRanges>
    <protectedRange sqref="AC54 U46:AC47" name="Rango1_1"/>
    <protectedRange sqref="U48:AC53" name="Rango1_1_3"/>
    <protectedRange sqref="AB35:AC45 AA33 AA37:AA38 Y25:Z45 AA40:AA42 AA44:AA45" name="Rango1_1_2"/>
    <protectedRange sqref="U25:X45" name="Rango1_1_1_2"/>
  </protectedRanges>
  <mergeCells count="142">
    <mergeCell ref="U54:X54"/>
    <mergeCell ref="Y54:Z54"/>
    <mergeCell ref="AA54:AC54"/>
    <mergeCell ref="G55:W55"/>
    <mergeCell ref="G56:W56"/>
    <mergeCell ref="F54:T54"/>
    <mergeCell ref="C52:T52"/>
    <mergeCell ref="U52:X52"/>
    <mergeCell ref="Y52:Z52"/>
    <mergeCell ref="AA52:AC52"/>
    <mergeCell ref="C53:T53"/>
    <mergeCell ref="U53:X53"/>
    <mergeCell ref="Y53:Z53"/>
    <mergeCell ref="AA53:AC53"/>
    <mergeCell ref="B48:B53"/>
    <mergeCell ref="C48:T48"/>
    <mergeCell ref="U48:X48"/>
    <mergeCell ref="Y48:Z48"/>
    <mergeCell ref="AA48:AC48"/>
    <mergeCell ref="C49:T49"/>
    <mergeCell ref="U49:X49"/>
    <mergeCell ref="Y49:Z49"/>
    <mergeCell ref="AA49:AC49"/>
    <mergeCell ref="C50:T50"/>
    <mergeCell ref="U50:X50"/>
    <mergeCell ref="Y50:Z50"/>
    <mergeCell ref="AA50:AC50"/>
    <mergeCell ref="C51:T51"/>
    <mergeCell ref="U51:X51"/>
    <mergeCell ref="Y51:Z51"/>
    <mergeCell ref="AA51:AC51"/>
    <mergeCell ref="B46:T47"/>
    <mergeCell ref="U46:AC46"/>
    <mergeCell ref="U47:X47"/>
    <mergeCell ref="Y47:Z47"/>
    <mergeCell ref="AA47:AC47"/>
    <mergeCell ref="B42:B45"/>
    <mergeCell ref="U43:X43"/>
    <mergeCell ref="Y43:Z43"/>
    <mergeCell ref="C44:T44"/>
    <mergeCell ref="U44:X44"/>
    <mergeCell ref="Y44:Z44"/>
    <mergeCell ref="AA42:AC44"/>
    <mergeCell ref="C45:T45"/>
    <mergeCell ref="U45:X45"/>
    <mergeCell ref="U41:X41"/>
    <mergeCell ref="Y41:Z41"/>
    <mergeCell ref="AA41:AC41"/>
    <mergeCell ref="C42:T42"/>
    <mergeCell ref="U42:X42"/>
    <mergeCell ref="Y42:Z42"/>
    <mergeCell ref="C43:T43"/>
    <mergeCell ref="Y45:Z45"/>
    <mergeCell ref="AA45:AC45"/>
    <mergeCell ref="B38:B41"/>
    <mergeCell ref="C38:T38"/>
    <mergeCell ref="U38:X38"/>
    <mergeCell ref="Y38:Z38"/>
    <mergeCell ref="C39:T39"/>
    <mergeCell ref="C35:T35"/>
    <mergeCell ref="U35:X35"/>
    <mergeCell ref="Y35:Z35"/>
    <mergeCell ref="AD35:AD36"/>
    <mergeCell ref="C36:T36"/>
    <mergeCell ref="U36:X36"/>
    <mergeCell ref="Y36:Z36"/>
    <mergeCell ref="U39:X39"/>
    <mergeCell ref="Y39:Z39"/>
    <mergeCell ref="C40:T40"/>
    <mergeCell ref="U40:X40"/>
    <mergeCell ref="Y40:Z40"/>
    <mergeCell ref="C37:T37"/>
    <mergeCell ref="U37:X37"/>
    <mergeCell ref="Y37:Z37"/>
    <mergeCell ref="AA37:AC37"/>
    <mergeCell ref="AA33:AC36"/>
    <mergeCell ref="AA38:AC40"/>
    <mergeCell ref="C41:T41"/>
    <mergeCell ref="B33:B37"/>
    <mergeCell ref="C33:T33"/>
    <mergeCell ref="U33:X33"/>
    <mergeCell ref="Y33:Z33"/>
    <mergeCell ref="C34:T34"/>
    <mergeCell ref="U34:X34"/>
    <mergeCell ref="Y34:Z34"/>
    <mergeCell ref="U25:X32"/>
    <mergeCell ref="Y25:Z25"/>
    <mergeCell ref="C26:T26"/>
    <mergeCell ref="Y26:Z26"/>
    <mergeCell ref="C27:T27"/>
    <mergeCell ref="Y27:Z27"/>
    <mergeCell ref="B23:B32"/>
    <mergeCell ref="C23:T23"/>
    <mergeCell ref="U23:X23"/>
    <mergeCell ref="Y23:Z23"/>
    <mergeCell ref="C24:T24"/>
    <mergeCell ref="U24:X24"/>
    <mergeCell ref="Y24:Z24"/>
    <mergeCell ref="C25:T25"/>
    <mergeCell ref="C30:T30"/>
    <mergeCell ref="Y30:Z30"/>
    <mergeCell ref="C31:T31"/>
    <mergeCell ref="Y31:Z31"/>
    <mergeCell ref="C28:T28"/>
    <mergeCell ref="B18:AC18"/>
    <mergeCell ref="B19:B22"/>
    <mergeCell ref="C19:T22"/>
    <mergeCell ref="U19:X22"/>
    <mergeCell ref="Y19:Z22"/>
    <mergeCell ref="AA19:AC22"/>
    <mergeCell ref="Y28:Z28"/>
    <mergeCell ref="C29:T29"/>
    <mergeCell ref="Y29:Z29"/>
    <mergeCell ref="AA23:AC32"/>
    <mergeCell ref="C32:T32"/>
    <mergeCell ref="Y32:Z32"/>
    <mergeCell ref="B15:C15"/>
    <mergeCell ref="D15:AC15"/>
    <mergeCell ref="B16:C16"/>
    <mergeCell ref="D16:AC16"/>
    <mergeCell ref="B17:C17"/>
    <mergeCell ref="D17:X17"/>
    <mergeCell ref="D13:W13"/>
    <mergeCell ref="AB13:AC13"/>
    <mergeCell ref="AB14:AC14"/>
    <mergeCell ref="AA8:AB8"/>
    <mergeCell ref="B9:E9"/>
    <mergeCell ref="I9:P9"/>
    <mergeCell ref="B10:E10"/>
    <mergeCell ref="I10:P10"/>
    <mergeCell ref="C14:W14"/>
    <mergeCell ref="Y9:AC9"/>
    <mergeCell ref="AB10:AC10"/>
    <mergeCell ref="AB3:AC3"/>
    <mergeCell ref="G5:H6"/>
    <mergeCell ref="P5:Q6"/>
    <mergeCell ref="X5:X6"/>
    <mergeCell ref="Y6:Z6"/>
    <mergeCell ref="AA6:AB6"/>
    <mergeCell ref="AB11:AC11"/>
    <mergeCell ref="C12:W12"/>
    <mergeCell ref="AB12:AC1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6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AF431-107F-4721-A7FC-1A02D6323C48}">
  <sheetPr>
    <pageSetUpPr fitToPage="1"/>
  </sheetPr>
  <dimension ref="A1:AD59"/>
  <sheetViews>
    <sheetView view="pageBreakPreview" topLeftCell="A2" zoomScaleNormal="100" zoomScaleSheetLayoutView="100" workbookViewId="0">
      <selection activeCell="D15" sqref="D15:AC15"/>
    </sheetView>
  </sheetViews>
  <sheetFormatPr defaultColWidth="11.42578125" defaultRowHeight="15"/>
  <cols>
    <col min="1" max="1" width="2.7109375" customWidth="1"/>
    <col min="2" max="2" width="16.85546875" customWidth="1"/>
    <col min="3" max="3" width="4" customWidth="1"/>
    <col min="4" max="5" width="2.5703125" customWidth="1"/>
    <col min="6" max="6" width="3.7109375" customWidth="1"/>
    <col min="7" max="7" width="2.5703125" customWidth="1"/>
    <col min="8" max="8" width="2.28515625" customWidth="1"/>
    <col min="9" max="9" width="2.5703125" customWidth="1"/>
    <col min="10" max="10" width="3" customWidth="1"/>
    <col min="11" max="12" width="2.5703125" customWidth="1"/>
    <col min="13" max="13" width="2" customWidth="1"/>
    <col min="14" max="18" width="2.5703125" customWidth="1"/>
    <col min="19" max="20" width="1.7109375" customWidth="1"/>
    <col min="21" max="21" width="2.7109375" customWidth="1"/>
    <col min="22" max="22" width="1.85546875" customWidth="1"/>
    <col min="23" max="23" width="2.5703125" customWidth="1"/>
    <col min="24" max="24" width="5.5703125" customWidth="1"/>
    <col min="25" max="25" width="3.85546875" customWidth="1"/>
    <col min="26" max="26" width="10.5703125" customWidth="1"/>
    <col min="27" max="27" width="4.7109375" customWidth="1"/>
    <col min="28" max="28" width="6.28515625" customWidth="1"/>
    <col min="29" max="29" width="3" customWidth="1"/>
    <col min="30" max="30" width="2.85546875" customWidth="1"/>
  </cols>
  <sheetData>
    <row r="1" spans="2:30" ht="31.5" customHeight="1"/>
    <row r="2" spans="2:30" ht="18.75">
      <c r="D2" s="1" t="s">
        <v>0</v>
      </c>
    </row>
    <row r="3" spans="2:30" ht="11.25" customHeight="1"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AB3" s="244"/>
      <c r="AC3" s="244"/>
    </row>
    <row r="4" spans="2:30">
      <c r="B4" s="3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2:30" ht="5.45" customHeight="1">
      <c r="G5" s="245"/>
      <c r="H5" s="246"/>
      <c r="P5" s="249" t="str">
        <f>IF(I10="Séptimo","X",IF(I10="Octavo","X",IF(I10="Noveno","X","")))</f>
        <v/>
      </c>
      <c r="Q5" s="250"/>
      <c r="X5" s="253" t="s">
        <v>89</v>
      </c>
    </row>
    <row r="6" spans="2:30" s="44" customFormat="1" ht="15" customHeight="1">
      <c r="C6" s="43" t="s">
        <v>2</v>
      </c>
      <c r="G6" s="247"/>
      <c r="H6" s="248"/>
      <c r="K6" s="43" t="s">
        <v>3</v>
      </c>
      <c r="P6" s="251"/>
      <c r="Q6" s="252"/>
      <c r="U6" s="43" t="s">
        <v>4</v>
      </c>
      <c r="X6" s="254"/>
      <c r="Y6" s="255" t="s">
        <v>5</v>
      </c>
      <c r="Z6" s="255"/>
      <c r="AA6" s="256">
        <v>21026</v>
      </c>
      <c r="AB6" s="257"/>
    </row>
    <row r="7" spans="2:30" s="44" customFormat="1" ht="9.6" customHeight="1" thickBot="1">
      <c r="G7" s="43"/>
      <c r="H7" s="43"/>
      <c r="L7" s="59"/>
      <c r="M7" s="59"/>
      <c r="U7" s="43"/>
      <c r="AA7" s="60"/>
      <c r="AB7" s="60"/>
    </row>
    <row r="8" spans="2:30" s="44" customFormat="1" ht="22.5" customHeight="1" thickBot="1">
      <c r="G8" s="43"/>
      <c r="H8" s="43"/>
      <c r="U8" s="43"/>
      <c r="Z8" s="51" t="s">
        <v>6</v>
      </c>
      <c r="AA8" s="236" t="str">
        <f>_xlfn.CONCAT('ESTUDIANTE 1'!AA8:AB8)</f>
        <v/>
      </c>
      <c r="AB8" s="237"/>
    </row>
    <row r="9" spans="2:30" s="44" customFormat="1" ht="14.25" customHeight="1" thickBot="1">
      <c r="B9" s="238" t="s">
        <v>7</v>
      </c>
      <c r="C9" s="238"/>
      <c r="D9" s="238"/>
      <c r="E9" s="238"/>
      <c r="F9" s="29"/>
      <c r="G9" s="29"/>
      <c r="H9" s="29"/>
      <c r="I9" s="239" t="s">
        <v>8</v>
      </c>
      <c r="J9" s="239"/>
      <c r="K9" s="239"/>
      <c r="L9" s="239"/>
      <c r="M9" s="239"/>
      <c r="N9" s="239"/>
      <c r="O9" s="239"/>
      <c r="P9" s="239"/>
      <c r="Q9" s="29"/>
      <c r="R9" s="29"/>
      <c r="S9" s="29"/>
      <c r="T9" s="29"/>
      <c r="U9" s="29"/>
      <c r="V9" s="29"/>
      <c r="W9" s="29"/>
      <c r="X9" s="52"/>
      <c r="Y9" s="258" t="s">
        <v>9</v>
      </c>
      <c r="Z9" s="259"/>
      <c r="AA9" s="259"/>
      <c r="AB9" s="259"/>
      <c r="AC9" s="260"/>
      <c r="AD9" s="52"/>
    </row>
    <row r="10" spans="2:30" s="44" customFormat="1" ht="14.25" customHeight="1">
      <c r="B10" s="240" t="str">
        <f>_xlfn.CONCAT('ESTUDIANTE 1'!B10:E10)</f>
        <v>Septiembre-Diciembre 2025</v>
      </c>
      <c r="C10" s="241"/>
      <c r="D10" s="241"/>
      <c r="E10" s="242"/>
      <c r="F10" s="53"/>
      <c r="G10" s="53"/>
      <c r="H10" s="53"/>
      <c r="I10" s="243" t="s">
        <v>90</v>
      </c>
      <c r="J10" s="243"/>
      <c r="K10" s="243"/>
      <c r="L10" s="243"/>
      <c r="M10" s="243"/>
      <c r="N10" s="243"/>
      <c r="O10" s="243"/>
      <c r="P10" s="243"/>
      <c r="Q10" s="54"/>
      <c r="R10" s="54"/>
      <c r="S10" s="54"/>
      <c r="T10" s="54"/>
      <c r="U10" s="54"/>
      <c r="V10" s="54"/>
      <c r="W10" s="54"/>
      <c r="Y10" s="55" t="s">
        <v>12</v>
      </c>
      <c r="Z10" s="56"/>
      <c r="AA10" s="57"/>
      <c r="AB10" s="227">
        <v>10</v>
      </c>
      <c r="AC10" s="228"/>
    </row>
    <row r="11" spans="2:30" s="44" customFormat="1" ht="14.25" customHeight="1">
      <c r="C11" s="43"/>
      <c r="D11" s="43"/>
      <c r="E11" s="43"/>
      <c r="F11" s="29"/>
      <c r="G11" s="29"/>
      <c r="H11" s="29"/>
      <c r="I11" s="29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Y11" s="58" t="s">
        <v>13</v>
      </c>
      <c r="AB11" s="227">
        <v>9</v>
      </c>
      <c r="AC11" s="228"/>
    </row>
    <row r="12" spans="2:30" s="44" customFormat="1" ht="14.25" customHeight="1">
      <c r="B12" s="43" t="s">
        <v>14</v>
      </c>
      <c r="C12" s="229">
        <v>1323144296</v>
      </c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Y12" s="45" t="s">
        <v>15</v>
      </c>
      <c r="Z12" s="46"/>
      <c r="AA12" s="46"/>
      <c r="AB12" s="230">
        <v>8</v>
      </c>
      <c r="AC12" s="231"/>
    </row>
    <row r="13" spans="2:30" s="44" customFormat="1" ht="14.25" customHeight="1">
      <c r="B13" s="29" t="s">
        <v>16</v>
      </c>
      <c r="C13" s="22"/>
      <c r="D13" s="232"/>
      <c r="E13" s="232"/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Y13" s="47" t="s">
        <v>17</v>
      </c>
      <c r="AB13" s="227">
        <v>7</v>
      </c>
      <c r="AC13" s="228"/>
    </row>
    <row r="14" spans="2:30" s="44" customFormat="1" ht="14.25" customHeight="1">
      <c r="B14" s="22" t="s">
        <v>18</v>
      </c>
      <c r="C14" s="235" t="str">
        <f>_xlfn.CONCAT('ESTUDIANTE 2'!C14:U14)</f>
        <v>INGENIERÍA EN SOFTWARE</v>
      </c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Y14" s="48" t="s">
        <v>20</v>
      </c>
      <c r="Z14" s="49"/>
      <c r="AA14" s="49"/>
      <c r="AB14" s="233">
        <v>6</v>
      </c>
      <c r="AC14" s="234"/>
    </row>
    <row r="15" spans="2:30" s="44" customFormat="1" ht="36.75" customHeight="1">
      <c r="B15" s="222" t="s">
        <v>21</v>
      </c>
      <c r="C15" s="222"/>
      <c r="D15" s="223" t="str">
        <f>_xlfn.CONCAT('ESTUDIANTE 1'!D15:AC15)</f>
        <v/>
      </c>
      <c r="E15" s="223"/>
      <c r="F15" s="223"/>
      <c r="G15" s="223"/>
      <c r="H15" s="223"/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3"/>
      <c r="T15" s="223"/>
      <c r="U15" s="223"/>
      <c r="V15" s="223"/>
      <c r="W15" s="223"/>
      <c r="X15" s="223"/>
      <c r="Y15" s="223"/>
      <c r="Z15" s="223"/>
      <c r="AA15" s="223"/>
      <c r="AB15" s="223"/>
      <c r="AC15" s="223"/>
    </row>
    <row r="16" spans="2:30" s="44" customFormat="1" ht="16.149999999999999" customHeight="1">
      <c r="B16" s="224" t="s">
        <v>22</v>
      </c>
      <c r="C16" s="224"/>
      <c r="D16" s="225" t="str">
        <f>_xlfn.CONCAT('ESTUDIANTE 1'!D16:AC16)</f>
        <v/>
      </c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  <c r="AA16" s="225"/>
      <c r="AB16" s="225"/>
      <c r="AC16" s="225"/>
    </row>
    <row r="17" spans="2:29" s="44" customFormat="1" ht="16.149999999999999" customHeight="1">
      <c r="B17" s="224" t="s">
        <v>23</v>
      </c>
      <c r="C17" s="224"/>
      <c r="D17" s="226" t="str">
        <f>_xlfn.CONCAT('ESTUDIANTE 1'!D17:X17)</f>
        <v/>
      </c>
      <c r="E17" s="226"/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"/>
      <c r="Z17" s="22"/>
      <c r="AA17" s="22"/>
      <c r="AB17" s="22"/>
      <c r="AC17" s="50"/>
    </row>
    <row r="18" spans="2:29" s="44" customFormat="1" ht="24.6" customHeight="1" thickBot="1">
      <c r="B18" s="191" t="s">
        <v>24</v>
      </c>
      <c r="C18" s="191"/>
      <c r="D18" s="191"/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</row>
    <row r="19" spans="2:29" s="44" customFormat="1" ht="15.75" customHeight="1" thickBot="1">
      <c r="B19" s="192" t="s">
        <v>25</v>
      </c>
      <c r="C19" s="195" t="s">
        <v>26</v>
      </c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7"/>
      <c r="U19" s="204" t="s">
        <v>27</v>
      </c>
      <c r="V19" s="205"/>
      <c r="W19" s="205"/>
      <c r="X19" s="206"/>
      <c r="Y19" s="213" t="s">
        <v>28</v>
      </c>
      <c r="Z19" s="214"/>
      <c r="AA19" s="219" t="s">
        <v>29</v>
      </c>
      <c r="AB19" s="220"/>
      <c r="AC19" s="221"/>
    </row>
    <row r="20" spans="2:29" s="44" customFormat="1" ht="15.75" thickBot="1">
      <c r="B20" s="193"/>
      <c r="C20" s="198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200"/>
      <c r="U20" s="207"/>
      <c r="V20" s="208"/>
      <c r="W20" s="208"/>
      <c r="X20" s="209"/>
      <c r="Y20" s="215"/>
      <c r="Z20" s="216"/>
      <c r="AA20" s="219"/>
      <c r="AB20" s="220"/>
      <c r="AC20" s="221"/>
    </row>
    <row r="21" spans="2:29" s="44" customFormat="1" ht="41.45" customHeight="1" thickBot="1">
      <c r="B21" s="193"/>
      <c r="C21" s="198"/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200"/>
      <c r="U21" s="207"/>
      <c r="V21" s="208"/>
      <c r="W21" s="208"/>
      <c r="X21" s="209"/>
      <c r="Y21" s="215"/>
      <c r="Z21" s="216"/>
      <c r="AA21" s="219"/>
      <c r="AB21" s="220"/>
      <c r="AC21" s="221"/>
    </row>
    <row r="22" spans="2:29" s="44" customFormat="1" ht="3.75" customHeight="1" thickBot="1">
      <c r="B22" s="194"/>
      <c r="C22" s="201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3"/>
      <c r="U22" s="210"/>
      <c r="V22" s="211"/>
      <c r="W22" s="211"/>
      <c r="X22" s="212"/>
      <c r="Y22" s="217"/>
      <c r="Z22" s="218"/>
      <c r="AA22" s="219"/>
      <c r="AB22" s="220"/>
      <c r="AC22" s="221"/>
    </row>
    <row r="23" spans="2:29" s="44" customFormat="1">
      <c r="B23" s="89" t="s">
        <v>30</v>
      </c>
      <c r="C23" s="100" t="s">
        <v>31</v>
      </c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2"/>
      <c r="U23" s="103"/>
      <c r="V23" s="104"/>
      <c r="W23" s="105"/>
      <c r="X23" s="106"/>
      <c r="Y23" s="165"/>
      <c r="Z23" s="166"/>
      <c r="AA23" s="176" t="s">
        <v>32</v>
      </c>
      <c r="AB23" s="177"/>
      <c r="AC23" s="178"/>
    </row>
    <row r="24" spans="2:29" s="44" customFormat="1">
      <c r="B24" s="89"/>
      <c r="C24" s="132" t="s">
        <v>33</v>
      </c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85"/>
      <c r="V24" s="186"/>
      <c r="W24" s="187"/>
      <c r="X24" s="188"/>
      <c r="Y24" s="189"/>
      <c r="Z24" s="190"/>
      <c r="AA24" s="179"/>
      <c r="AB24" s="180"/>
      <c r="AC24" s="181"/>
    </row>
    <row r="25" spans="2:29" s="44" customFormat="1">
      <c r="B25" s="89"/>
      <c r="C25" s="132" t="s">
        <v>34</v>
      </c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67" t="s">
        <v>35</v>
      </c>
      <c r="V25" s="168"/>
      <c r="W25" s="168"/>
      <c r="X25" s="169"/>
      <c r="Y25" s="139"/>
      <c r="Z25" s="140"/>
      <c r="AA25" s="179"/>
      <c r="AB25" s="180"/>
      <c r="AC25" s="181"/>
    </row>
    <row r="26" spans="2:29" s="44" customFormat="1">
      <c r="B26" s="89"/>
      <c r="C26" s="132" t="s">
        <v>36</v>
      </c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4"/>
      <c r="U26" s="170"/>
      <c r="V26" s="171"/>
      <c r="W26" s="171"/>
      <c r="X26" s="172"/>
      <c r="Y26" s="139"/>
      <c r="Z26" s="140"/>
      <c r="AA26" s="179"/>
      <c r="AB26" s="180"/>
      <c r="AC26" s="181"/>
    </row>
    <row r="27" spans="2:29" s="44" customFormat="1">
      <c r="B27" s="89"/>
      <c r="C27" s="132" t="s">
        <v>37</v>
      </c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4"/>
      <c r="U27" s="170"/>
      <c r="V27" s="171"/>
      <c r="W27" s="171"/>
      <c r="X27" s="172"/>
      <c r="Y27" s="139"/>
      <c r="Z27" s="140"/>
      <c r="AA27" s="179"/>
      <c r="AB27" s="180"/>
      <c r="AC27" s="181"/>
    </row>
    <row r="28" spans="2:29" s="44" customFormat="1">
      <c r="B28" s="89"/>
      <c r="C28" s="132" t="s">
        <v>38</v>
      </c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4"/>
      <c r="U28" s="170"/>
      <c r="V28" s="171"/>
      <c r="W28" s="171"/>
      <c r="X28" s="172"/>
      <c r="Y28" s="139"/>
      <c r="Z28" s="140"/>
      <c r="AA28" s="179"/>
      <c r="AB28" s="180"/>
      <c r="AC28" s="181"/>
    </row>
    <row r="29" spans="2:29" s="44" customFormat="1">
      <c r="B29" s="89"/>
      <c r="C29" s="132" t="s">
        <v>39</v>
      </c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4"/>
      <c r="U29" s="170"/>
      <c r="V29" s="171"/>
      <c r="W29" s="171"/>
      <c r="X29" s="172"/>
      <c r="Y29" s="139"/>
      <c r="Z29" s="140"/>
      <c r="AA29" s="179"/>
      <c r="AB29" s="180"/>
      <c r="AC29" s="181"/>
    </row>
    <row r="30" spans="2:29" s="44" customFormat="1">
      <c r="B30" s="89"/>
      <c r="C30" s="132" t="s">
        <v>40</v>
      </c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4"/>
      <c r="U30" s="170"/>
      <c r="V30" s="171"/>
      <c r="W30" s="171"/>
      <c r="X30" s="172"/>
      <c r="Y30" s="139"/>
      <c r="Z30" s="140"/>
      <c r="AA30" s="179"/>
      <c r="AB30" s="180"/>
      <c r="AC30" s="181"/>
    </row>
    <row r="31" spans="2:29" s="44" customFormat="1">
      <c r="B31" s="89"/>
      <c r="C31" s="132" t="s">
        <v>41</v>
      </c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4"/>
      <c r="U31" s="170"/>
      <c r="V31" s="171"/>
      <c r="W31" s="171"/>
      <c r="X31" s="172"/>
      <c r="Y31" s="139"/>
      <c r="Z31" s="140"/>
      <c r="AA31" s="179"/>
      <c r="AB31" s="180"/>
      <c r="AC31" s="181"/>
    </row>
    <row r="32" spans="2:29" s="44" customFormat="1" ht="15.75" thickBot="1">
      <c r="B32" s="89"/>
      <c r="C32" s="109" t="s">
        <v>42</v>
      </c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1"/>
      <c r="U32" s="173"/>
      <c r="V32" s="174"/>
      <c r="W32" s="174"/>
      <c r="X32" s="175"/>
      <c r="Y32" s="114"/>
      <c r="Z32" s="115"/>
      <c r="AA32" s="182"/>
      <c r="AB32" s="183"/>
      <c r="AC32" s="184"/>
    </row>
    <row r="33" spans="2:30" s="44" customFormat="1" ht="15" customHeight="1">
      <c r="B33" s="88" t="s">
        <v>43</v>
      </c>
      <c r="C33" s="100" t="s">
        <v>44</v>
      </c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2"/>
      <c r="U33" s="164" t="s">
        <v>45</v>
      </c>
      <c r="V33" s="154"/>
      <c r="W33" s="155"/>
      <c r="X33" s="156"/>
      <c r="Y33" s="107"/>
      <c r="Z33" s="108"/>
      <c r="AA33" s="141" t="s">
        <v>46</v>
      </c>
      <c r="AB33" s="142"/>
      <c r="AC33" s="143"/>
    </row>
    <row r="34" spans="2:30" s="44" customFormat="1">
      <c r="B34" s="89"/>
      <c r="C34" s="132" t="s">
        <v>47</v>
      </c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4"/>
      <c r="U34" s="162" t="s">
        <v>48</v>
      </c>
      <c r="V34" s="136"/>
      <c r="W34" s="137"/>
      <c r="X34" s="138"/>
      <c r="Y34" s="139"/>
      <c r="Z34" s="140"/>
      <c r="AA34" s="144"/>
      <c r="AB34" s="145"/>
      <c r="AC34" s="146"/>
    </row>
    <row r="35" spans="2:30" s="44" customFormat="1">
      <c r="B35" s="89"/>
      <c r="C35" s="132" t="s">
        <v>49</v>
      </c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4"/>
      <c r="U35" s="162" t="s">
        <v>50</v>
      </c>
      <c r="V35" s="136"/>
      <c r="W35" s="137"/>
      <c r="X35" s="138"/>
      <c r="Y35" s="139"/>
      <c r="Z35" s="140"/>
      <c r="AA35" s="144"/>
      <c r="AB35" s="145"/>
      <c r="AC35" s="146"/>
      <c r="AD35" s="161"/>
    </row>
    <row r="36" spans="2:30" s="44" customFormat="1">
      <c r="B36" s="89"/>
      <c r="C36" s="132" t="s">
        <v>51</v>
      </c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4"/>
      <c r="U36" s="162" t="s">
        <v>52</v>
      </c>
      <c r="V36" s="136"/>
      <c r="W36" s="137"/>
      <c r="X36" s="138"/>
      <c r="Y36" s="139"/>
      <c r="Z36" s="140"/>
      <c r="AA36" s="147"/>
      <c r="AB36" s="148"/>
      <c r="AC36" s="149"/>
      <c r="AD36" s="161"/>
    </row>
    <row r="37" spans="2:30" s="44" customFormat="1" ht="15.75" thickBot="1">
      <c r="B37" s="90"/>
      <c r="C37" s="109" t="s">
        <v>53</v>
      </c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1"/>
      <c r="U37" s="163" t="s">
        <v>52</v>
      </c>
      <c r="V37" s="158"/>
      <c r="W37" s="159"/>
      <c r="X37" s="160"/>
      <c r="Y37" s="114"/>
      <c r="Z37" s="115"/>
      <c r="AA37" s="114">
        <f>SUM(Y33:Z37)/5</f>
        <v>0</v>
      </c>
      <c r="AB37" s="116"/>
      <c r="AC37" s="115"/>
    </row>
    <row r="38" spans="2:30" s="44" customFormat="1" ht="15" customHeight="1">
      <c r="B38" s="88" t="s">
        <v>54</v>
      </c>
      <c r="C38" s="150" t="s">
        <v>55</v>
      </c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2"/>
      <c r="U38" s="153" t="s">
        <v>56</v>
      </c>
      <c r="V38" s="154"/>
      <c r="W38" s="155"/>
      <c r="X38" s="156"/>
      <c r="Y38" s="107"/>
      <c r="Z38" s="108"/>
      <c r="AA38" s="141" t="s">
        <v>57</v>
      </c>
      <c r="AB38" s="142"/>
      <c r="AC38" s="143"/>
    </row>
    <row r="39" spans="2:30" s="44" customFormat="1">
      <c r="B39" s="89"/>
      <c r="C39" s="132" t="s">
        <v>58</v>
      </c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4"/>
      <c r="U39" s="135" t="s">
        <v>59</v>
      </c>
      <c r="V39" s="136"/>
      <c r="W39" s="137"/>
      <c r="X39" s="138"/>
      <c r="Y39" s="139"/>
      <c r="Z39" s="140"/>
      <c r="AA39" s="144"/>
      <c r="AB39" s="145"/>
      <c r="AC39" s="146"/>
    </row>
    <row r="40" spans="2:30" s="44" customFormat="1">
      <c r="B40" s="89"/>
      <c r="C40" s="132" t="s">
        <v>60</v>
      </c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4"/>
      <c r="U40" s="135" t="s">
        <v>61</v>
      </c>
      <c r="V40" s="136"/>
      <c r="W40" s="137"/>
      <c r="X40" s="138"/>
      <c r="Y40" s="139"/>
      <c r="Z40" s="140"/>
      <c r="AA40" s="147"/>
      <c r="AB40" s="148"/>
      <c r="AC40" s="149"/>
    </row>
    <row r="41" spans="2:30" s="44" customFormat="1" ht="15.75" thickBot="1">
      <c r="B41" s="90"/>
      <c r="C41" s="109" t="s">
        <v>62</v>
      </c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1"/>
      <c r="U41" s="157" t="s">
        <v>63</v>
      </c>
      <c r="V41" s="158"/>
      <c r="W41" s="159"/>
      <c r="X41" s="160"/>
      <c r="Y41" s="114"/>
      <c r="Z41" s="115"/>
      <c r="AA41" s="114">
        <f>SUM(Y38:Z41)/4</f>
        <v>0</v>
      </c>
      <c r="AB41" s="116"/>
      <c r="AC41" s="115"/>
    </row>
    <row r="42" spans="2:30" s="44" customFormat="1" ht="15" customHeight="1">
      <c r="B42" s="89" t="s">
        <v>30</v>
      </c>
      <c r="C42" s="100" t="s">
        <v>64</v>
      </c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2"/>
      <c r="U42" s="103" t="s">
        <v>65</v>
      </c>
      <c r="V42" s="104"/>
      <c r="W42" s="105"/>
      <c r="X42" s="106"/>
      <c r="Y42" s="107"/>
      <c r="Z42" s="108"/>
      <c r="AA42" s="141" t="s">
        <v>66</v>
      </c>
      <c r="AB42" s="142"/>
      <c r="AC42" s="143"/>
    </row>
    <row r="43" spans="2:30" s="44" customFormat="1">
      <c r="B43" s="89"/>
      <c r="C43" s="132" t="s">
        <v>67</v>
      </c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4"/>
      <c r="U43" s="135" t="s">
        <v>68</v>
      </c>
      <c r="V43" s="136"/>
      <c r="W43" s="137"/>
      <c r="X43" s="138"/>
      <c r="Y43" s="139"/>
      <c r="Z43" s="140"/>
      <c r="AA43" s="144"/>
      <c r="AB43" s="145"/>
      <c r="AC43" s="146"/>
    </row>
    <row r="44" spans="2:30" s="44" customFormat="1">
      <c r="B44" s="89"/>
      <c r="C44" s="132" t="s">
        <v>69</v>
      </c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4"/>
      <c r="U44" s="135" t="s">
        <v>70</v>
      </c>
      <c r="V44" s="136"/>
      <c r="W44" s="137"/>
      <c r="X44" s="138"/>
      <c r="Y44" s="139"/>
      <c r="Z44" s="140"/>
      <c r="AA44" s="147"/>
      <c r="AB44" s="148"/>
      <c r="AC44" s="149"/>
    </row>
    <row r="45" spans="2:30" s="44" customFormat="1" ht="15.75" thickBot="1">
      <c r="B45" s="90"/>
      <c r="C45" s="109" t="s">
        <v>71</v>
      </c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1"/>
      <c r="U45" s="112" t="s">
        <v>35</v>
      </c>
      <c r="V45" s="112"/>
      <c r="W45" s="112"/>
      <c r="X45" s="113"/>
      <c r="Y45" s="114"/>
      <c r="Z45" s="115"/>
      <c r="AA45" s="114">
        <f>(SUM(Y25:Z32)+SUM(Y42:Z45))/12</f>
        <v>0</v>
      </c>
      <c r="AB45" s="116"/>
      <c r="AC45" s="115"/>
    </row>
    <row r="46" spans="2:30" s="44" customFormat="1">
      <c r="B46" s="117" t="s">
        <v>72</v>
      </c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9"/>
      <c r="U46" s="123" t="s">
        <v>73</v>
      </c>
      <c r="V46" s="124"/>
      <c r="W46" s="124"/>
      <c r="X46" s="124"/>
      <c r="Y46" s="124"/>
      <c r="Z46" s="124"/>
      <c r="AA46" s="124"/>
      <c r="AB46" s="124"/>
      <c r="AC46" s="125"/>
    </row>
    <row r="47" spans="2:30" s="44" customFormat="1" ht="15.75" thickBot="1">
      <c r="B47" s="120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2"/>
      <c r="U47" s="126" t="s">
        <v>74</v>
      </c>
      <c r="V47" s="127"/>
      <c r="W47" s="127"/>
      <c r="X47" s="128"/>
      <c r="Y47" s="129" t="s">
        <v>75</v>
      </c>
      <c r="Z47" s="130"/>
      <c r="AA47" s="129" t="s">
        <v>76</v>
      </c>
      <c r="AB47" s="131"/>
      <c r="AC47" s="130"/>
    </row>
    <row r="48" spans="2:30" s="44" customFormat="1">
      <c r="B48" s="88" t="s">
        <v>77</v>
      </c>
      <c r="C48" s="91" t="s">
        <v>78</v>
      </c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3"/>
      <c r="U48" s="94"/>
      <c r="V48" s="95"/>
      <c r="W48" s="95"/>
      <c r="X48" s="96"/>
      <c r="Y48" s="97"/>
      <c r="Z48" s="98"/>
      <c r="AA48" s="97"/>
      <c r="AB48" s="99"/>
      <c r="AC48" s="98"/>
    </row>
    <row r="49" spans="1:30" s="44" customFormat="1" ht="30" customHeight="1">
      <c r="B49" s="89"/>
      <c r="C49" s="70" t="s">
        <v>79</v>
      </c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2"/>
      <c r="U49" s="73"/>
      <c r="V49" s="74"/>
      <c r="W49" s="74"/>
      <c r="X49" s="75"/>
      <c r="Y49" s="76"/>
      <c r="Z49" s="77"/>
      <c r="AA49" s="76"/>
      <c r="AB49" s="78"/>
      <c r="AC49" s="77"/>
    </row>
    <row r="50" spans="1:30" s="44" customFormat="1" ht="33" customHeight="1">
      <c r="B50" s="89"/>
      <c r="C50" s="70" t="s">
        <v>80</v>
      </c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2"/>
      <c r="U50" s="73"/>
      <c r="V50" s="74"/>
      <c r="W50" s="74"/>
      <c r="X50" s="75"/>
      <c r="Y50" s="76"/>
      <c r="Z50" s="77"/>
      <c r="AA50" s="76"/>
      <c r="AB50" s="78"/>
      <c r="AC50" s="77"/>
    </row>
    <row r="51" spans="1:30" s="44" customFormat="1" ht="29.25" customHeight="1">
      <c r="B51" s="89"/>
      <c r="C51" s="70" t="s">
        <v>81</v>
      </c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2"/>
      <c r="U51" s="73"/>
      <c r="V51" s="74"/>
      <c r="W51" s="74"/>
      <c r="X51" s="75"/>
      <c r="Y51" s="76"/>
      <c r="Z51" s="77"/>
      <c r="AA51" s="76"/>
      <c r="AB51" s="78"/>
      <c r="AC51" s="77"/>
    </row>
    <row r="52" spans="1:30" s="44" customFormat="1" ht="27.75" customHeight="1">
      <c r="B52" s="89"/>
      <c r="C52" s="70" t="s">
        <v>82</v>
      </c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2"/>
      <c r="U52" s="73"/>
      <c r="V52" s="74"/>
      <c r="W52" s="74"/>
      <c r="X52" s="75"/>
      <c r="Y52" s="76"/>
      <c r="Z52" s="77"/>
      <c r="AA52" s="76"/>
      <c r="AB52" s="78"/>
      <c r="AC52" s="77"/>
    </row>
    <row r="53" spans="1:30" s="44" customFormat="1" ht="27" customHeight="1" thickBot="1">
      <c r="B53" s="90"/>
      <c r="C53" s="79" t="s">
        <v>83</v>
      </c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1"/>
      <c r="U53" s="82"/>
      <c r="V53" s="83"/>
      <c r="W53" s="83"/>
      <c r="X53" s="84"/>
      <c r="Y53" s="85"/>
      <c r="Z53" s="86"/>
      <c r="AA53" s="85"/>
      <c r="AB53" s="87"/>
      <c r="AC53" s="86"/>
    </row>
    <row r="54" spans="1:30" s="44" customFormat="1" ht="15.75" thickBot="1">
      <c r="B54" s="24"/>
      <c r="C54" s="25"/>
      <c r="D54" s="25"/>
      <c r="E54" s="25"/>
      <c r="F54" s="61" t="s">
        <v>84</v>
      </c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2"/>
      <c r="U54" s="63">
        <f>SUM(U48:X53)/6</f>
        <v>0</v>
      </c>
      <c r="V54" s="64"/>
      <c r="W54" s="64"/>
      <c r="X54" s="64"/>
      <c r="Y54" s="65">
        <f>SUM(Y48:Y53)/6</f>
        <v>0</v>
      </c>
      <c r="Z54" s="66"/>
      <c r="AA54" s="64">
        <f>SUM(AA48:AA53)/6</f>
        <v>0</v>
      </c>
      <c r="AB54" s="64"/>
      <c r="AC54" s="67"/>
    </row>
    <row r="55" spans="1:30" ht="37.5" customHeight="1">
      <c r="C55" s="21"/>
      <c r="D55" s="21"/>
      <c r="E55" s="21"/>
      <c r="F55" s="21"/>
      <c r="G55" s="68" t="str">
        <f>_xlfn.CONCAT('ESTUDIANTE 1'!G56:W56)</f>
        <v>ING. JULIO LARA GARCÍA</v>
      </c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17"/>
    </row>
    <row r="56" spans="1:30" ht="15" customHeight="1">
      <c r="G56" s="69" t="s">
        <v>86</v>
      </c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18"/>
      <c r="Y56" s="18"/>
      <c r="AD56" s="19"/>
    </row>
    <row r="57" spans="1:30" ht="25.9" customHeight="1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30" ht="13.5" customHeight="1">
      <c r="A58" s="20" t="s">
        <v>87</v>
      </c>
    </row>
    <row r="59" spans="1:30" ht="13.5" customHeight="1">
      <c r="A59" s="20" t="s">
        <v>88</v>
      </c>
    </row>
  </sheetData>
  <protectedRanges>
    <protectedRange sqref="AC54 U46:AC47" name="Rango1_1"/>
    <protectedRange sqref="U48:AC53" name="Rango1_1_3"/>
    <protectedRange sqref="AB35:AC45 AA33 AA37:AA38 Y25:Z45 AA40:AA42 AA44:AA45" name="Rango1_1_2_1"/>
    <protectedRange sqref="U25:X45" name="Rango1_1_1_2_1"/>
  </protectedRanges>
  <mergeCells count="142">
    <mergeCell ref="AA8:AB8"/>
    <mergeCell ref="B9:E9"/>
    <mergeCell ref="I9:P9"/>
    <mergeCell ref="B10:E10"/>
    <mergeCell ref="I10:P10"/>
    <mergeCell ref="AB3:AC3"/>
    <mergeCell ref="G5:H6"/>
    <mergeCell ref="P5:Q6"/>
    <mergeCell ref="X5:X6"/>
    <mergeCell ref="Y6:Z6"/>
    <mergeCell ref="AA6:AB6"/>
    <mergeCell ref="Y9:AC9"/>
    <mergeCell ref="AB10:AC10"/>
    <mergeCell ref="B15:C15"/>
    <mergeCell ref="D15:AC15"/>
    <mergeCell ref="B16:C16"/>
    <mergeCell ref="D16:AC16"/>
    <mergeCell ref="B17:C17"/>
    <mergeCell ref="D17:X17"/>
    <mergeCell ref="AB11:AC11"/>
    <mergeCell ref="C12:W12"/>
    <mergeCell ref="AB12:AC12"/>
    <mergeCell ref="D13:W13"/>
    <mergeCell ref="AB13:AC13"/>
    <mergeCell ref="AB14:AC14"/>
    <mergeCell ref="C14:W14"/>
    <mergeCell ref="AA23:AC32"/>
    <mergeCell ref="C24:T24"/>
    <mergeCell ref="U24:X24"/>
    <mergeCell ref="Y24:Z24"/>
    <mergeCell ref="C25:T25"/>
    <mergeCell ref="B18:AC18"/>
    <mergeCell ref="B19:B22"/>
    <mergeCell ref="C19:T22"/>
    <mergeCell ref="U19:X22"/>
    <mergeCell ref="Y19:Z22"/>
    <mergeCell ref="AA19:AC22"/>
    <mergeCell ref="C28:T28"/>
    <mergeCell ref="Y28:Z28"/>
    <mergeCell ref="C29:T29"/>
    <mergeCell ref="Y29:Z29"/>
    <mergeCell ref="Y25:Z25"/>
    <mergeCell ref="C26:T26"/>
    <mergeCell ref="Y26:Z26"/>
    <mergeCell ref="C27:T27"/>
    <mergeCell ref="Y27:Z27"/>
    <mergeCell ref="C32:T32"/>
    <mergeCell ref="Y32:Z32"/>
    <mergeCell ref="B33:B37"/>
    <mergeCell ref="C33:T33"/>
    <mergeCell ref="U33:X33"/>
    <mergeCell ref="Y33:Z33"/>
    <mergeCell ref="C30:T30"/>
    <mergeCell ref="Y30:Z30"/>
    <mergeCell ref="C31:T31"/>
    <mergeCell ref="Y31:Z31"/>
    <mergeCell ref="B23:B32"/>
    <mergeCell ref="C23:T23"/>
    <mergeCell ref="U23:X23"/>
    <mergeCell ref="Y23:Z23"/>
    <mergeCell ref="U25:X32"/>
    <mergeCell ref="AD35:AD36"/>
    <mergeCell ref="C36:T36"/>
    <mergeCell ref="U36:X36"/>
    <mergeCell ref="Y36:Z36"/>
    <mergeCell ref="C37:T37"/>
    <mergeCell ref="U37:X37"/>
    <mergeCell ref="Y37:Z37"/>
    <mergeCell ref="AA37:AC37"/>
    <mergeCell ref="AA33:AC36"/>
    <mergeCell ref="C34:T34"/>
    <mergeCell ref="U34:X34"/>
    <mergeCell ref="Y34:Z34"/>
    <mergeCell ref="C35:T35"/>
    <mergeCell ref="U35:X35"/>
    <mergeCell ref="Y35:Z35"/>
    <mergeCell ref="B38:B41"/>
    <mergeCell ref="C38:T38"/>
    <mergeCell ref="U38:X38"/>
    <mergeCell ref="Y38:Z38"/>
    <mergeCell ref="AA38:AC40"/>
    <mergeCell ref="C39:T39"/>
    <mergeCell ref="U39:X39"/>
    <mergeCell ref="Y39:Z39"/>
    <mergeCell ref="C40:T40"/>
    <mergeCell ref="U40:X40"/>
    <mergeCell ref="Y40:Z40"/>
    <mergeCell ref="C41:T41"/>
    <mergeCell ref="U41:X41"/>
    <mergeCell ref="Y41:Z41"/>
    <mergeCell ref="AA41:AC41"/>
    <mergeCell ref="C42:T42"/>
    <mergeCell ref="U42:X42"/>
    <mergeCell ref="Y42:Z42"/>
    <mergeCell ref="C45:T45"/>
    <mergeCell ref="U45:X45"/>
    <mergeCell ref="Y45:Z45"/>
    <mergeCell ref="AA45:AC45"/>
    <mergeCell ref="B46:T47"/>
    <mergeCell ref="U46:AC46"/>
    <mergeCell ref="U47:X47"/>
    <mergeCell ref="Y47:Z47"/>
    <mergeCell ref="AA47:AC47"/>
    <mergeCell ref="B42:B45"/>
    <mergeCell ref="C43:T43"/>
    <mergeCell ref="U43:X43"/>
    <mergeCell ref="Y43:Z43"/>
    <mergeCell ref="C44:T44"/>
    <mergeCell ref="U44:X44"/>
    <mergeCell ref="Y44:Z44"/>
    <mergeCell ref="AA42:AC44"/>
    <mergeCell ref="U50:X50"/>
    <mergeCell ref="Y50:Z50"/>
    <mergeCell ref="AA50:AC50"/>
    <mergeCell ref="C51:T51"/>
    <mergeCell ref="U51:X51"/>
    <mergeCell ref="Y51:Z51"/>
    <mergeCell ref="AA51:AC51"/>
    <mergeCell ref="B48:B53"/>
    <mergeCell ref="C48:T48"/>
    <mergeCell ref="U48:X48"/>
    <mergeCell ref="Y48:Z48"/>
    <mergeCell ref="AA48:AC48"/>
    <mergeCell ref="C49:T49"/>
    <mergeCell ref="U49:X49"/>
    <mergeCell ref="Y49:Z49"/>
    <mergeCell ref="AA49:AC49"/>
    <mergeCell ref="C50:T50"/>
    <mergeCell ref="F54:T54"/>
    <mergeCell ref="U54:X54"/>
    <mergeCell ref="Y54:Z54"/>
    <mergeCell ref="AA54:AC54"/>
    <mergeCell ref="G55:W55"/>
    <mergeCell ref="G56:W56"/>
    <mergeCell ref="C52:T52"/>
    <mergeCell ref="U52:X52"/>
    <mergeCell ref="Y52:Z52"/>
    <mergeCell ref="AA52:AC52"/>
    <mergeCell ref="C53:T53"/>
    <mergeCell ref="U53:X53"/>
    <mergeCell ref="Y53:Z53"/>
    <mergeCell ref="AA53:AC5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6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DBEF-59C1-4C04-BCE5-E6ED99245ACE}">
  <sheetPr>
    <pageSetUpPr fitToPage="1"/>
  </sheetPr>
  <dimension ref="A1:AD59"/>
  <sheetViews>
    <sheetView view="pageBreakPreview" zoomScaleNormal="100" zoomScaleSheetLayoutView="100" workbookViewId="0">
      <selection activeCell="Y54" sqref="Y54:Z54"/>
    </sheetView>
  </sheetViews>
  <sheetFormatPr defaultColWidth="11.42578125" defaultRowHeight="15"/>
  <cols>
    <col min="1" max="1" width="2.7109375" customWidth="1"/>
    <col min="2" max="2" width="16.85546875" customWidth="1"/>
    <col min="3" max="3" width="4" customWidth="1"/>
    <col min="4" max="5" width="2.5703125" customWidth="1"/>
    <col min="6" max="6" width="3.7109375" customWidth="1"/>
    <col min="7" max="7" width="2.5703125" customWidth="1"/>
    <col min="8" max="8" width="2.28515625" customWidth="1"/>
    <col min="9" max="9" width="2.5703125" customWidth="1"/>
    <col min="10" max="10" width="3" customWidth="1"/>
    <col min="11" max="12" width="2.5703125" customWidth="1"/>
    <col min="13" max="13" width="2" customWidth="1"/>
    <col min="14" max="18" width="2.5703125" customWidth="1"/>
    <col min="19" max="20" width="1.7109375" customWidth="1"/>
    <col min="21" max="21" width="2.7109375" customWidth="1"/>
    <col min="22" max="22" width="1.85546875" customWidth="1"/>
    <col min="23" max="23" width="2.5703125" customWidth="1"/>
    <col min="24" max="24" width="5.5703125" customWidth="1"/>
    <col min="25" max="25" width="3.85546875" customWidth="1"/>
    <col min="26" max="26" width="10.5703125" customWidth="1"/>
    <col min="27" max="27" width="4.7109375" customWidth="1"/>
    <col min="28" max="28" width="6.28515625" customWidth="1"/>
    <col min="29" max="29" width="3" customWidth="1"/>
    <col min="30" max="30" width="2.85546875" customWidth="1"/>
  </cols>
  <sheetData>
    <row r="1" spans="2:30" ht="31.5" customHeight="1"/>
    <row r="2" spans="2:30" ht="18.75">
      <c r="D2" s="1" t="s">
        <v>0</v>
      </c>
    </row>
    <row r="3" spans="2:30" ht="11.25" customHeight="1"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AB3" s="244"/>
      <c r="AC3" s="244"/>
    </row>
    <row r="4" spans="2:30">
      <c r="B4" s="3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2:30" ht="5.45" customHeight="1">
      <c r="G5" s="245" t="str">
        <f>IF(I10="Cuarto","X",IF(I10="Quinto","X",IF(I10="Sexto","X","")))</f>
        <v>X</v>
      </c>
      <c r="H5" s="246"/>
      <c r="P5" s="249" t="str">
        <f>IF(I10="Séptimo","X",IF(I10="Octavo","X",IF(I10="Noveno","X","")))</f>
        <v/>
      </c>
      <c r="Q5" s="250"/>
      <c r="X5" s="253" t="str">
        <f>IF(I10="Décimo","X","")</f>
        <v/>
      </c>
    </row>
    <row r="6" spans="2:30" s="44" customFormat="1" ht="15" customHeight="1">
      <c r="C6" s="43" t="s">
        <v>2</v>
      </c>
      <c r="G6" s="247"/>
      <c r="H6" s="248"/>
      <c r="K6" s="43" t="s">
        <v>3</v>
      </c>
      <c r="P6" s="251"/>
      <c r="Q6" s="252"/>
      <c r="U6" s="43" t="s">
        <v>4</v>
      </c>
      <c r="X6" s="254"/>
      <c r="Y6" s="255" t="s">
        <v>5</v>
      </c>
      <c r="Z6" s="255"/>
      <c r="AA6" s="256" t="str">
        <f>_xlfn.CONCAT('ESTUDIANTE 1'!AA6:AB6)</f>
        <v/>
      </c>
      <c r="AB6" s="257"/>
    </row>
    <row r="7" spans="2:30" s="44" customFormat="1" ht="6" customHeight="1" thickBot="1">
      <c r="G7" s="43"/>
      <c r="H7" s="43"/>
      <c r="L7" s="59"/>
      <c r="M7" s="59"/>
      <c r="U7" s="43"/>
      <c r="AA7" s="60"/>
      <c r="AB7" s="60"/>
    </row>
    <row r="8" spans="2:30" s="44" customFormat="1" ht="20.25" customHeight="1" thickBot="1">
      <c r="G8" s="43"/>
      <c r="H8" s="43"/>
      <c r="U8" s="43"/>
      <c r="Z8" s="51" t="s">
        <v>6</v>
      </c>
      <c r="AA8" s="236" t="str">
        <f>_xlfn.CONCAT('ESTUDIANTE 1'!AA8:AB8)</f>
        <v/>
      </c>
      <c r="AB8" s="237"/>
    </row>
    <row r="9" spans="2:30" s="44" customFormat="1" ht="14.25" customHeight="1" thickBot="1">
      <c r="B9" s="238" t="s">
        <v>7</v>
      </c>
      <c r="C9" s="238"/>
      <c r="D9" s="238"/>
      <c r="E9" s="238"/>
      <c r="F9" s="29"/>
      <c r="G9" s="29"/>
      <c r="H9" s="29"/>
      <c r="I9" s="239" t="s">
        <v>8</v>
      </c>
      <c r="J9" s="239"/>
      <c r="K9" s="239"/>
      <c r="L9" s="239"/>
      <c r="M9" s="239"/>
      <c r="N9" s="239"/>
      <c r="O9" s="239"/>
      <c r="P9" s="239"/>
      <c r="Q9" s="29"/>
      <c r="R9" s="29"/>
      <c r="S9" s="29"/>
      <c r="T9" s="29"/>
      <c r="U9" s="29"/>
      <c r="V9" s="29"/>
      <c r="W9" s="29"/>
      <c r="X9" s="52"/>
      <c r="Y9" s="258" t="s">
        <v>9</v>
      </c>
      <c r="Z9" s="259"/>
      <c r="AA9" s="259"/>
      <c r="AB9" s="259"/>
      <c r="AC9" s="260"/>
      <c r="AD9" s="52"/>
    </row>
    <row r="10" spans="2:30" s="44" customFormat="1" ht="14.25" customHeight="1">
      <c r="B10" s="240" t="str">
        <f>_xlfn.CONCAT('ESTUDIANTE 1'!B10:E10)</f>
        <v>Septiembre-Diciembre 2025</v>
      </c>
      <c r="C10" s="241"/>
      <c r="D10" s="241"/>
      <c r="E10" s="242"/>
      <c r="F10" s="53"/>
      <c r="G10" s="53"/>
      <c r="H10" s="53"/>
      <c r="I10" s="243" t="str">
        <f>_xlfn.CONCAT('ESTUDIANTE 1'!I10:P10)</f>
        <v>Sexto</v>
      </c>
      <c r="J10" s="243"/>
      <c r="K10" s="243"/>
      <c r="L10" s="243"/>
      <c r="M10" s="243"/>
      <c r="N10" s="243"/>
      <c r="O10" s="243"/>
      <c r="P10" s="243"/>
      <c r="Q10" s="54"/>
      <c r="R10" s="54"/>
      <c r="S10" s="54"/>
      <c r="T10" s="54"/>
      <c r="U10" s="54"/>
      <c r="V10" s="54"/>
      <c r="W10" s="54"/>
      <c r="Y10" s="55" t="s">
        <v>12</v>
      </c>
      <c r="Z10" s="56"/>
      <c r="AA10" s="57"/>
      <c r="AB10" s="227">
        <v>10</v>
      </c>
      <c r="AC10" s="228"/>
    </row>
    <row r="11" spans="2:30" s="44" customFormat="1" ht="14.25" customHeight="1">
      <c r="C11" s="43"/>
      <c r="D11" s="43"/>
      <c r="E11" s="43"/>
      <c r="F11" s="29"/>
      <c r="G11" s="29"/>
      <c r="H11" s="29"/>
      <c r="I11" s="29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Y11" s="58" t="s">
        <v>13</v>
      </c>
      <c r="AB11" s="227">
        <v>9</v>
      </c>
      <c r="AC11" s="228"/>
    </row>
    <row r="12" spans="2:30" s="44" customFormat="1" ht="14.25" customHeight="1">
      <c r="B12" s="43" t="s">
        <v>14</v>
      </c>
      <c r="C12" s="229"/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Y12" s="45" t="s">
        <v>15</v>
      </c>
      <c r="Z12" s="46"/>
      <c r="AA12" s="46"/>
      <c r="AB12" s="230">
        <v>8</v>
      </c>
      <c r="AC12" s="231"/>
    </row>
    <row r="13" spans="2:30" s="44" customFormat="1" ht="14.25" customHeight="1">
      <c r="B13" s="29" t="s">
        <v>16</v>
      </c>
      <c r="C13" s="22"/>
      <c r="D13" s="232"/>
      <c r="E13" s="232"/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Y13" s="47" t="s">
        <v>17</v>
      </c>
      <c r="AB13" s="227">
        <v>7</v>
      </c>
      <c r="AC13" s="228"/>
    </row>
    <row r="14" spans="2:30" s="44" customFormat="1" ht="14.25" customHeight="1" thickBot="1">
      <c r="B14" s="22" t="s">
        <v>18</v>
      </c>
      <c r="C14" s="235" t="str">
        <f>_xlfn.CONCAT('ESTUDIANTE 1'!C14:U14)</f>
        <v>INGENIERÍA EN SOFTWARE</v>
      </c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Y14" s="48" t="s">
        <v>20</v>
      </c>
      <c r="Z14" s="49"/>
      <c r="AA14" s="49"/>
      <c r="AB14" s="233">
        <v>6</v>
      </c>
      <c r="AC14" s="234"/>
    </row>
    <row r="15" spans="2:30" s="44" customFormat="1" ht="36.75" customHeight="1">
      <c r="B15" s="222" t="s">
        <v>21</v>
      </c>
      <c r="C15" s="222"/>
      <c r="D15" s="223" t="str">
        <f>_xlfn.CONCAT('ESTUDIANTE 1'!D15:AC15)</f>
        <v/>
      </c>
      <c r="E15" s="223"/>
      <c r="F15" s="223"/>
      <c r="G15" s="223"/>
      <c r="H15" s="223"/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3"/>
      <c r="T15" s="223"/>
      <c r="U15" s="223"/>
      <c r="V15" s="223"/>
      <c r="W15" s="223"/>
      <c r="X15" s="223"/>
      <c r="Y15" s="223"/>
      <c r="Z15" s="223"/>
      <c r="AA15" s="223"/>
      <c r="AB15" s="223"/>
      <c r="AC15" s="223"/>
    </row>
    <row r="16" spans="2:30" s="44" customFormat="1" ht="16.149999999999999" customHeight="1">
      <c r="B16" s="224" t="s">
        <v>22</v>
      </c>
      <c r="C16" s="224"/>
      <c r="D16" s="225" t="str">
        <f>_xlfn.CONCAT('ESTUDIANTE 1'!D16:AC16)</f>
        <v/>
      </c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  <c r="AA16" s="225"/>
      <c r="AB16" s="225"/>
      <c r="AC16" s="225"/>
    </row>
    <row r="17" spans="2:29" s="44" customFormat="1" ht="16.149999999999999" customHeight="1">
      <c r="B17" s="224" t="s">
        <v>23</v>
      </c>
      <c r="C17" s="224"/>
      <c r="D17" s="226" t="str">
        <f>_xlfn.CONCAT('ESTUDIANTE 1'!D17:X17)</f>
        <v/>
      </c>
      <c r="E17" s="226"/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"/>
      <c r="Z17" s="22"/>
      <c r="AA17" s="22"/>
      <c r="AB17" s="22"/>
      <c r="AC17" s="50"/>
    </row>
    <row r="18" spans="2:29" s="44" customFormat="1" ht="24.6" customHeight="1" thickBot="1">
      <c r="B18" s="191" t="s">
        <v>24</v>
      </c>
      <c r="C18" s="191"/>
      <c r="D18" s="191"/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</row>
    <row r="19" spans="2:29" s="44" customFormat="1" ht="15.75" customHeight="1" thickBot="1">
      <c r="B19" s="192" t="s">
        <v>25</v>
      </c>
      <c r="C19" s="195" t="s">
        <v>26</v>
      </c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7"/>
      <c r="U19" s="204" t="s">
        <v>27</v>
      </c>
      <c r="V19" s="205"/>
      <c r="W19" s="205"/>
      <c r="X19" s="206"/>
      <c r="Y19" s="213" t="s">
        <v>28</v>
      </c>
      <c r="Z19" s="214"/>
      <c r="AA19" s="219" t="s">
        <v>29</v>
      </c>
      <c r="AB19" s="220"/>
      <c r="AC19" s="221"/>
    </row>
    <row r="20" spans="2:29" s="44" customFormat="1" ht="15.75" thickBot="1">
      <c r="B20" s="193"/>
      <c r="C20" s="198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200"/>
      <c r="U20" s="207"/>
      <c r="V20" s="208"/>
      <c r="W20" s="208"/>
      <c r="X20" s="209"/>
      <c r="Y20" s="215"/>
      <c r="Z20" s="216"/>
      <c r="AA20" s="219"/>
      <c r="AB20" s="220"/>
      <c r="AC20" s="221"/>
    </row>
    <row r="21" spans="2:29" s="44" customFormat="1" ht="41.45" customHeight="1" thickBot="1">
      <c r="B21" s="193"/>
      <c r="C21" s="198"/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200"/>
      <c r="U21" s="207"/>
      <c r="V21" s="208"/>
      <c r="W21" s="208"/>
      <c r="X21" s="209"/>
      <c r="Y21" s="215"/>
      <c r="Z21" s="216"/>
      <c r="AA21" s="219"/>
      <c r="AB21" s="220"/>
      <c r="AC21" s="221"/>
    </row>
    <row r="22" spans="2:29" s="44" customFormat="1" ht="3.75" customHeight="1" thickBot="1">
      <c r="B22" s="194"/>
      <c r="C22" s="201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3"/>
      <c r="U22" s="210"/>
      <c r="V22" s="211"/>
      <c r="W22" s="211"/>
      <c r="X22" s="212"/>
      <c r="Y22" s="217"/>
      <c r="Z22" s="218"/>
      <c r="AA22" s="219"/>
      <c r="AB22" s="220"/>
      <c r="AC22" s="221"/>
    </row>
    <row r="23" spans="2:29" s="44" customFormat="1">
      <c r="B23" s="89" t="s">
        <v>30</v>
      </c>
      <c r="C23" s="100" t="s">
        <v>31</v>
      </c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2"/>
      <c r="U23" s="103"/>
      <c r="V23" s="104"/>
      <c r="W23" s="105"/>
      <c r="X23" s="106"/>
      <c r="Y23" s="165"/>
      <c r="Z23" s="166"/>
      <c r="AA23" s="176" t="s">
        <v>32</v>
      </c>
      <c r="AB23" s="177"/>
      <c r="AC23" s="178"/>
    </row>
    <row r="24" spans="2:29" s="44" customFormat="1">
      <c r="B24" s="89"/>
      <c r="C24" s="132" t="s">
        <v>33</v>
      </c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85"/>
      <c r="V24" s="186"/>
      <c r="W24" s="187"/>
      <c r="X24" s="188"/>
      <c r="Y24" s="189"/>
      <c r="Z24" s="190"/>
      <c r="AA24" s="179"/>
      <c r="AB24" s="180"/>
      <c r="AC24" s="181"/>
    </row>
    <row r="25" spans="2:29" s="44" customFormat="1">
      <c r="B25" s="89"/>
      <c r="C25" s="132" t="s">
        <v>34</v>
      </c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67" t="s">
        <v>35</v>
      </c>
      <c r="V25" s="168"/>
      <c r="W25" s="168"/>
      <c r="X25" s="169"/>
      <c r="Y25" s="139"/>
      <c r="Z25" s="140"/>
      <c r="AA25" s="179"/>
      <c r="AB25" s="180"/>
      <c r="AC25" s="181"/>
    </row>
    <row r="26" spans="2:29" s="44" customFormat="1">
      <c r="B26" s="89"/>
      <c r="C26" s="132" t="s">
        <v>36</v>
      </c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4"/>
      <c r="U26" s="170"/>
      <c r="V26" s="171"/>
      <c r="W26" s="171"/>
      <c r="X26" s="172"/>
      <c r="Y26" s="139"/>
      <c r="Z26" s="140"/>
      <c r="AA26" s="179"/>
      <c r="AB26" s="180"/>
      <c r="AC26" s="181"/>
    </row>
    <row r="27" spans="2:29" s="44" customFormat="1">
      <c r="B27" s="89"/>
      <c r="C27" s="132" t="s">
        <v>37</v>
      </c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4"/>
      <c r="U27" s="170"/>
      <c r="V27" s="171"/>
      <c r="W27" s="171"/>
      <c r="X27" s="172"/>
      <c r="Y27" s="139"/>
      <c r="Z27" s="140"/>
      <c r="AA27" s="179"/>
      <c r="AB27" s="180"/>
      <c r="AC27" s="181"/>
    </row>
    <row r="28" spans="2:29" s="44" customFormat="1">
      <c r="B28" s="89"/>
      <c r="C28" s="132" t="s">
        <v>38</v>
      </c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4"/>
      <c r="U28" s="170"/>
      <c r="V28" s="171"/>
      <c r="W28" s="171"/>
      <c r="X28" s="172"/>
      <c r="Y28" s="139"/>
      <c r="Z28" s="140"/>
      <c r="AA28" s="179"/>
      <c r="AB28" s="180"/>
      <c r="AC28" s="181"/>
    </row>
    <row r="29" spans="2:29" s="44" customFormat="1">
      <c r="B29" s="89"/>
      <c r="C29" s="132" t="s">
        <v>39</v>
      </c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4"/>
      <c r="U29" s="170"/>
      <c r="V29" s="171"/>
      <c r="W29" s="171"/>
      <c r="X29" s="172"/>
      <c r="Y29" s="139"/>
      <c r="Z29" s="140"/>
      <c r="AA29" s="179"/>
      <c r="AB29" s="180"/>
      <c r="AC29" s="181"/>
    </row>
    <row r="30" spans="2:29" s="44" customFormat="1">
      <c r="B30" s="89"/>
      <c r="C30" s="132" t="s">
        <v>40</v>
      </c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4"/>
      <c r="U30" s="170"/>
      <c r="V30" s="171"/>
      <c r="W30" s="171"/>
      <c r="X30" s="172"/>
      <c r="Y30" s="139"/>
      <c r="Z30" s="140"/>
      <c r="AA30" s="179"/>
      <c r="AB30" s="180"/>
      <c r="AC30" s="181"/>
    </row>
    <row r="31" spans="2:29" s="44" customFormat="1">
      <c r="B31" s="89"/>
      <c r="C31" s="132" t="s">
        <v>41</v>
      </c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4"/>
      <c r="U31" s="170"/>
      <c r="V31" s="171"/>
      <c r="W31" s="171"/>
      <c r="X31" s="172"/>
      <c r="Y31" s="139"/>
      <c r="Z31" s="140"/>
      <c r="AA31" s="179"/>
      <c r="AB31" s="180"/>
      <c r="AC31" s="181"/>
    </row>
    <row r="32" spans="2:29" s="44" customFormat="1" ht="15.75" thickBot="1">
      <c r="B32" s="89"/>
      <c r="C32" s="109" t="s">
        <v>42</v>
      </c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1"/>
      <c r="U32" s="173"/>
      <c r="V32" s="174"/>
      <c r="W32" s="174"/>
      <c r="X32" s="175"/>
      <c r="Y32" s="114"/>
      <c r="Z32" s="115"/>
      <c r="AA32" s="182"/>
      <c r="AB32" s="183"/>
      <c r="AC32" s="184"/>
    </row>
    <row r="33" spans="2:30" s="44" customFormat="1">
      <c r="B33" s="88" t="s">
        <v>43</v>
      </c>
      <c r="C33" s="100" t="s">
        <v>44</v>
      </c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2"/>
      <c r="U33" s="164" t="s">
        <v>45</v>
      </c>
      <c r="V33" s="154"/>
      <c r="W33" s="155"/>
      <c r="X33" s="156"/>
      <c r="Y33" s="107"/>
      <c r="Z33" s="108"/>
      <c r="AA33" s="141" t="s">
        <v>46</v>
      </c>
      <c r="AB33" s="142"/>
      <c r="AC33" s="143"/>
    </row>
    <row r="34" spans="2:30" s="44" customFormat="1">
      <c r="B34" s="89"/>
      <c r="C34" s="132" t="s">
        <v>47</v>
      </c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4"/>
      <c r="U34" s="162" t="s">
        <v>48</v>
      </c>
      <c r="V34" s="136"/>
      <c r="W34" s="137"/>
      <c r="X34" s="138"/>
      <c r="Y34" s="139"/>
      <c r="Z34" s="140"/>
      <c r="AA34" s="144"/>
      <c r="AB34" s="145"/>
      <c r="AC34" s="146"/>
    </row>
    <row r="35" spans="2:30" s="44" customFormat="1">
      <c r="B35" s="89"/>
      <c r="C35" s="132" t="s">
        <v>49</v>
      </c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4"/>
      <c r="U35" s="162" t="s">
        <v>50</v>
      </c>
      <c r="V35" s="136"/>
      <c r="W35" s="137"/>
      <c r="X35" s="138"/>
      <c r="Y35" s="139"/>
      <c r="Z35" s="140"/>
      <c r="AA35" s="144"/>
      <c r="AB35" s="145"/>
      <c r="AC35" s="146"/>
      <c r="AD35" s="161"/>
    </row>
    <row r="36" spans="2:30" s="44" customFormat="1">
      <c r="B36" s="89"/>
      <c r="C36" s="132" t="s">
        <v>51</v>
      </c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4"/>
      <c r="U36" s="162" t="s">
        <v>52</v>
      </c>
      <c r="V36" s="136"/>
      <c r="W36" s="137"/>
      <c r="X36" s="138"/>
      <c r="Y36" s="139"/>
      <c r="Z36" s="140"/>
      <c r="AA36" s="147"/>
      <c r="AB36" s="148"/>
      <c r="AC36" s="149"/>
      <c r="AD36" s="161"/>
    </row>
    <row r="37" spans="2:30" s="44" customFormat="1" ht="15.75" thickBot="1">
      <c r="B37" s="90"/>
      <c r="C37" s="109" t="s">
        <v>53</v>
      </c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1"/>
      <c r="U37" s="163" t="s">
        <v>52</v>
      </c>
      <c r="V37" s="158"/>
      <c r="W37" s="159"/>
      <c r="X37" s="160"/>
      <c r="Y37" s="114"/>
      <c r="Z37" s="115"/>
      <c r="AA37" s="114">
        <f>SUM(Y33:Z37)/5</f>
        <v>0</v>
      </c>
      <c r="AB37" s="116"/>
      <c r="AC37" s="115"/>
    </row>
    <row r="38" spans="2:30" s="44" customFormat="1">
      <c r="B38" s="88" t="s">
        <v>54</v>
      </c>
      <c r="C38" s="150" t="s">
        <v>55</v>
      </c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2"/>
      <c r="U38" s="153" t="s">
        <v>56</v>
      </c>
      <c r="V38" s="154"/>
      <c r="W38" s="155"/>
      <c r="X38" s="156"/>
      <c r="Y38" s="107"/>
      <c r="Z38" s="108"/>
      <c r="AA38" s="141" t="s">
        <v>57</v>
      </c>
      <c r="AB38" s="142"/>
      <c r="AC38" s="143"/>
    </row>
    <row r="39" spans="2:30" s="44" customFormat="1">
      <c r="B39" s="89"/>
      <c r="C39" s="132" t="s">
        <v>58</v>
      </c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4"/>
      <c r="U39" s="135" t="s">
        <v>59</v>
      </c>
      <c r="V39" s="136"/>
      <c r="W39" s="137"/>
      <c r="X39" s="138"/>
      <c r="Y39" s="139"/>
      <c r="Z39" s="140"/>
      <c r="AA39" s="144"/>
      <c r="AB39" s="145"/>
      <c r="AC39" s="146"/>
    </row>
    <row r="40" spans="2:30" s="44" customFormat="1">
      <c r="B40" s="89"/>
      <c r="C40" s="132" t="s">
        <v>60</v>
      </c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4"/>
      <c r="U40" s="135" t="s">
        <v>61</v>
      </c>
      <c r="V40" s="136"/>
      <c r="W40" s="137"/>
      <c r="X40" s="138"/>
      <c r="Y40" s="139"/>
      <c r="Z40" s="140"/>
      <c r="AA40" s="147"/>
      <c r="AB40" s="148"/>
      <c r="AC40" s="149"/>
    </row>
    <row r="41" spans="2:30" s="44" customFormat="1" ht="15.75" thickBot="1">
      <c r="B41" s="90"/>
      <c r="C41" s="109" t="s">
        <v>62</v>
      </c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1"/>
      <c r="U41" s="157" t="s">
        <v>63</v>
      </c>
      <c r="V41" s="158"/>
      <c r="W41" s="159"/>
      <c r="X41" s="160"/>
      <c r="Y41" s="114"/>
      <c r="Z41" s="115"/>
      <c r="AA41" s="114">
        <f>SUM(Y38:Z41)/4</f>
        <v>0</v>
      </c>
      <c r="AB41" s="116"/>
      <c r="AC41" s="115"/>
    </row>
    <row r="42" spans="2:30" s="44" customFormat="1">
      <c r="B42" s="89" t="s">
        <v>30</v>
      </c>
      <c r="C42" s="100" t="s">
        <v>64</v>
      </c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2"/>
      <c r="U42" s="103" t="s">
        <v>65</v>
      </c>
      <c r="V42" s="104"/>
      <c r="W42" s="105"/>
      <c r="X42" s="106"/>
      <c r="Y42" s="107"/>
      <c r="Z42" s="108"/>
      <c r="AA42" s="141" t="s">
        <v>66</v>
      </c>
      <c r="AB42" s="142"/>
      <c r="AC42" s="143"/>
    </row>
    <row r="43" spans="2:30" s="44" customFormat="1">
      <c r="B43" s="89"/>
      <c r="C43" s="132" t="s">
        <v>67</v>
      </c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4"/>
      <c r="U43" s="135" t="s">
        <v>68</v>
      </c>
      <c r="V43" s="136"/>
      <c r="W43" s="137"/>
      <c r="X43" s="138"/>
      <c r="Y43" s="139"/>
      <c r="Z43" s="140"/>
      <c r="AA43" s="144"/>
      <c r="AB43" s="145"/>
      <c r="AC43" s="146"/>
    </row>
    <row r="44" spans="2:30" s="44" customFormat="1">
      <c r="B44" s="89"/>
      <c r="C44" s="132" t="s">
        <v>69</v>
      </c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4"/>
      <c r="U44" s="135" t="s">
        <v>70</v>
      </c>
      <c r="V44" s="136"/>
      <c r="W44" s="137"/>
      <c r="X44" s="138"/>
      <c r="Y44" s="139"/>
      <c r="Z44" s="140"/>
      <c r="AA44" s="147"/>
      <c r="AB44" s="148"/>
      <c r="AC44" s="149"/>
    </row>
    <row r="45" spans="2:30" s="44" customFormat="1" ht="15.75" thickBot="1">
      <c r="B45" s="90"/>
      <c r="C45" s="109" t="s">
        <v>71</v>
      </c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1"/>
      <c r="U45" s="112" t="s">
        <v>35</v>
      </c>
      <c r="V45" s="112"/>
      <c r="W45" s="112"/>
      <c r="X45" s="113"/>
      <c r="Y45" s="114"/>
      <c r="Z45" s="115"/>
      <c r="AA45" s="114">
        <f>(SUM(Y25:Z32)+SUM(Y42:Z45))/12</f>
        <v>0</v>
      </c>
      <c r="AB45" s="116"/>
      <c r="AC45" s="115"/>
    </row>
    <row r="46" spans="2:30" s="44" customFormat="1">
      <c r="B46" s="117" t="s">
        <v>72</v>
      </c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9"/>
      <c r="U46" s="123" t="s">
        <v>73</v>
      </c>
      <c r="V46" s="124"/>
      <c r="W46" s="124"/>
      <c r="X46" s="124"/>
      <c r="Y46" s="124"/>
      <c r="Z46" s="124"/>
      <c r="AA46" s="124"/>
      <c r="AB46" s="124"/>
      <c r="AC46" s="125"/>
    </row>
    <row r="47" spans="2:30" s="44" customFormat="1" ht="15.75" thickBot="1">
      <c r="B47" s="120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2"/>
      <c r="U47" s="126" t="s">
        <v>74</v>
      </c>
      <c r="V47" s="127"/>
      <c r="W47" s="127"/>
      <c r="X47" s="128"/>
      <c r="Y47" s="129" t="s">
        <v>75</v>
      </c>
      <c r="Z47" s="130"/>
      <c r="AA47" s="129" t="s">
        <v>76</v>
      </c>
      <c r="AB47" s="131"/>
      <c r="AC47" s="130"/>
    </row>
    <row r="48" spans="2:30" s="44" customFormat="1">
      <c r="B48" s="88" t="s">
        <v>77</v>
      </c>
      <c r="C48" s="91" t="s">
        <v>78</v>
      </c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3"/>
      <c r="U48" s="94"/>
      <c r="V48" s="95"/>
      <c r="W48" s="95"/>
      <c r="X48" s="96"/>
      <c r="Y48" s="97"/>
      <c r="Z48" s="98"/>
      <c r="AA48" s="97"/>
      <c r="AB48" s="99"/>
      <c r="AC48" s="98"/>
    </row>
    <row r="49" spans="1:30" s="44" customFormat="1" ht="30" customHeight="1">
      <c r="B49" s="89"/>
      <c r="C49" s="70" t="s">
        <v>79</v>
      </c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2"/>
      <c r="U49" s="73"/>
      <c r="V49" s="74"/>
      <c r="W49" s="74"/>
      <c r="X49" s="75"/>
      <c r="Y49" s="76"/>
      <c r="Z49" s="77"/>
      <c r="AA49" s="76"/>
      <c r="AB49" s="78"/>
      <c r="AC49" s="77"/>
    </row>
    <row r="50" spans="1:30" s="44" customFormat="1" ht="33" customHeight="1">
      <c r="B50" s="89"/>
      <c r="C50" s="70" t="s">
        <v>80</v>
      </c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2"/>
      <c r="U50" s="73"/>
      <c r="V50" s="74"/>
      <c r="W50" s="74"/>
      <c r="X50" s="75"/>
      <c r="Y50" s="76"/>
      <c r="Z50" s="77"/>
      <c r="AA50" s="76"/>
      <c r="AB50" s="78"/>
      <c r="AC50" s="77"/>
    </row>
    <row r="51" spans="1:30" s="44" customFormat="1" ht="29.25" customHeight="1">
      <c r="B51" s="89"/>
      <c r="C51" s="70" t="s">
        <v>81</v>
      </c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2"/>
      <c r="U51" s="73"/>
      <c r="V51" s="74"/>
      <c r="W51" s="74"/>
      <c r="X51" s="75"/>
      <c r="Y51" s="76"/>
      <c r="Z51" s="77"/>
      <c r="AA51" s="76"/>
      <c r="AB51" s="78"/>
      <c r="AC51" s="77"/>
    </row>
    <row r="52" spans="1:30" s="44" customFormat="1" ht="27.75" customHeight="1">
      <c r="B52" s="89"/>
      <c r="C52" s="70" t="s">
        <v>82</v>
      </c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2"/>
      <c r="U52" s="73"/>
      <c r="V52" s="74"/>
      <c r="W52" s="74"/>
      <c r="X52" s="75"/>
      <c r="Y52" s="76"/>
      <c r="Z52" s="77"/>
      <c r="AA52" s="76"/>
      <c r="AB52" s="78"/>
      <c r="AC52" s="77"/>
    </row>
    <row r="53" spans="1:30" s="44" customFormat="1" ht="27" customHeight="1" thickBot="1">
      <c r="B53" s="90"/>
      <c r="C53" s="79" t="s">
        <v>83</v>
      </c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1"/>
      <c r="U53" s="82"/>
      <c r="V53" s="83"/>
      <c r="W53" s="83"/>
      <c r="X53" s="84"/>
      <c r="Y53" s="85"/>
      <c r="Z53" s="86"/>
      <c r="AA53" s="85"/>
      <c r="AB53" s="87"/>
      <c r="AC53" s="86"/>
    </row>
    <row r="54" spans="1:30" s="44" customFormat="1" ht="15.75" thickBot="1">
      <c r="B54" s="24"/>
      <c r="C54" s="25"/>
      <c r="D54" s="25"/>
      <c r="E54" s="25"/>
      <c r="F54" s="61" t="s">
        <v>84</v>
      </c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2"/>
      <c r="U54" s="63">
        <f>SUM(U48:X53)/6</f>
        <v>0</v>
      </c>
      <c r="V54" s="64"/>
      <c r="W54" s="64"/>
      <c r="X54" s="64"/>
      <c r="Y54" s="65">
        <f>SUM(Y48:Y53)/6</f>
        <v>0</v>
      </c>
      <c r="Z54" s="66"/>
      <c r="AA54" s="64">
        <f>SUM(AA48:AA53)/6</f>
        <v>0</v>
      </c>
      <c r="AB54" s="64"/>
      <c r="AC54" s="67"/>
    </row>
    <row r="55" spans="1:30" ht="37.5" customHeight="1">
      <c r="C55" s="21"/>
      <c r="D55" s="21"/>
      <c r="E55" s="21"/>
      <c r="F55" s="21"/>
      <c r="G55" s="68" t="str">
        <f>_xlfn.CONCAT('ESTUDIANTE 1'!G56:W56)</f>
        <v>ING. JULIO LARA GARCÍA</v>
      </c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17"/>
    </row>
    <row r="56" spans="1:30" ht="15" customHeight="1">
      <c r="G56" s="69" t="s">
        <v>86</v>
      </c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18"/>
      <c r="Y56" s="18"/>
      <c r="AD56" s="19"/>
    </row>
    <row r="57" spans="1:30" ht="25.9" customHeight="1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30" ht="13.5" customHeight="1">
      <c r="A58" s="20" t="s">
        <v>87</v>
      </c>
    </row>
    <row r="59" spans="1:30" ht="13.5" customHeight="1">
      <c r="A59" s="20" t="s">
        <v>88</v>
      </c>
    </row>
  </sheetData>
  <protectedRanges>
    <protectedRange sqref="AB46:AC47 AC54 AA46:AA47 U46:Z47" name="Rango1_1"/>
    <protectedRange sqref="U48:AC53" name="Rango1_1_3"/>
    <protectedRange sqref="AB35:AC45 AA33 AA37:AA38 Y25:Z45 AA40:AA42 AA44:AA45" name="Rango1_1_2_1"/>
    <protectedRange sqref="U25:X45" name="Rango1_1_1_2_1"/>
  </protectedRanges>
  <mergeCells count="142">
    <mergeCell ref="AA8:AB8"/>
    <mergeCell ref="B9:E9"/>
    <mergeCell ref="I9:P9"/>
    <mergeCell ref="B10:E10"/>
    <mergeCell ref="I10:P10"/>
    <mergeCell ref="AB3:AC3"/>
    <mergeCell ref="G5:H6"/>
    <mergeCell ref="P5:Q6"/>
    <mergeCell ref="X5:X6"/>
    <mergeCell ref="Y6:Z6"/>
    <mergeCell ref="AA6:AB6"/>
    <mergeCell ref="Y9:AC9"/>
    <mergeCell ref="AB10:AC10"/>
    <mergeCell ref="B15:C15"/>
    <mergeCell ref="D15:AC15"/>
    <mergeCell ref="B16:C16"/>
    <mergeCell ref="D16:AC16"/>
    <mergeCell ref="B17:C17"/>
    <mergeCell ref="D17:X17"/>
    <mergeCell ref="AB11:AC11"/>
    <mergeCell ref="C12:W12"/>
    <mergeCell ref="AB12:AC12"/>
    <mergeCell ref="D13:W13"/>
    <mergeCell ref="AB13:AC13"/>
    <mergeCell ref="AB14:AC14"/>
    <mergeCell ref="C14:W14"/>
    <mergeCell ref="AA23:AC32"/>
    <mergeCell ref="C24:T24"/>
    <mergeCell ref="U24:X24"/>
    <mergeCell ref="Y24:Z24"/>
    <mergeCell ref="C25:T25"/>
    <mergeCell ref="B18:AC18"/>
    <mergeCell ref="B19:B22"/>
    <mergeCell ref="C19:T22"/>
    <mergeCell ref="U19:X22"/>
    <mergeCell ref="Y19:Z22"/>
    <mergeCell ref="AA19:AC22"/>
    <mergeCell ref="C28:T28"/>
    <mergeCell ref="Y28:Z28"/>
    <mergeCell ref="C29:T29"/>
    <mergeCell ref="Y29:Z29"/>
    <mergeCell ref="Y25:Z25"/>
    <mergeCell ref="C26:T26"/>
    <mergeCell ref="Y26:Z26"/>
    <mergeCell ref="C27:T27"/>
    <mergeCell ref="Y27:Z27"/>
    <mergeCell ref="C32:T32"/>
    <mergeCell ref="Y32:Z32"/>
    <mergeCell ref="B33:B37"/>
    <mergeCell ref="C33:T33"/>
    <mergeCell ref="U33:X33"/>
    <mergeCell ref="Y33:Z33"/>
    <mergeCell ref="C30:T30"/>
    <mergeCell ref="Y30:Z30"/>
    <mergeCell ref="C31:T31"/>
    <mergeCell ref="Y31:Z31"/>
    <mergeCell ref="B23:B32"/>
    <mergeCell ref="C23:T23"/>
    <mergeCell ref="U23:X23"/>
    <mergeCell ref="Y23:Z23"/>
    <mergeCell ref="U25:X32"/>
    <mergeCell ref="AD35:AD36"/>
    <mergeCell ref="C36:T36"/>
    <mergeCell ref="U36:X36"/>
    <mergeCell ref="Y36:Z36"/>
    <mergeCell ref="C37:T37"/>
    <mergeCell ref="U37:X37"/>
    <mergeCell ref="Y37:Z37"/>
    <mergeCell ref="AA37:AC37"/>
    <mergeCell ref="AA33:AC36"/>
    <mergeCell ref="C34:T34"/>
    <mergeCell ref="U34:X34"/>
    <mergeCell ref="Y34:Z34"/>
    <mergeCell ref="C35:T35"/>
    <mergeCell ref="U35:X35"/>
    <mergeCell ref="Y35:Z35"/>
    <mergeCell ref="B38:B41"/>
    <mergeCell ref="C38:T38"/>
    <mergeCell ref="U38:X38"/>
    <mergeCell ref="Y38:Z38"/>
    <mergeCell ref="AA38:AC40"/>
    <mergeCell ref="C39:T39"/>
    <mergeCell ref="U39:X39"/>
    <mergeCell ref="Y39:Z39"/>
    <mergeCell ref="C40:T40"/>
    <mergeCell ref="U40:X40"/>
    <mergeCell ref="Y40:Z40"/>
    <mergeCell ref="C41:T41"/>
    <mergeCell ref="U41:X41"/>
    <mergeCell ref="Y41:Z41"/>
    <mergeCell ref="AA41:AC41"/>
    <mergeCell ref="C42:T42"/>
    <mergeCell ref="U42:X42"/>
    <mergeCell ref="Y42:Z42"/>
    <mergeCell ref="C45:T45"/>
    <mergeCell ref="U45:X45"/>
    <mergeCell ref="Y45:Z45"/>
    <mergeCell ref="AA45:AC45"/>
    <mergeCell ref="B46:T47"/>
    <mergeCell ref="U46:AC46"/>
    <mergeCell ref="U47:X47"/>
    <mergeCell ref="Y47:Z47"/>
    <mergeCell ref="AA47:AC47"/>
    <mergeCell ref="B42:B45"/>
    <mergeCell ref="C43:T43"/>
    <mergeCell ref="U43:X43"/>
    <mergeCell ref="Y43:Z43"/>
    <mergeCell ref="C44:T44"/>
    <mergeCell ref="U44:X44"/>
    <mergeCell ref="Y44:Z44"/>
    <mergeCell ref="AA42:AC44"/>
    <mergeCell ref="U50:X50"/>
    <mergeCell ref="Y50:Z50"/>
    <mergeCell ref="AA50:AC50"/>
    <mergeCell ref="C51:T51"/>
    <mergeCell ref="U51:X51"/>
    <mergeCell ref="Y51:Z51"/>
    <mergeCell ref="AA51:AC51"/>
    <mergeCell ref="B48:B53"/>
    <mergeCell ref="C48:T48"/>
    <mergeCell ref="U48:X48"/>
    <mergeCell ref="Y48:Z48"/>
    <mergeCell ref="AA48:AC48"/>
    <mergeCell ref="C49:T49"/>
    <mergeCell ref="U49:X49"/>
    <mergeCell ref="Y49:Z49"/>
    <mergeCell ref="AA49:AC49"/>
    <mergeCell ref="C50:T50"/>
    <mergeCell ref="F54:T54"/>
    <mergeCell ref="U54:X54"/>
    <mergeCell ref="Y54:Z54"/>
    <mergeCell ref="AA54:AC54"/>
    <mergeCell ref="G55:W55"/>
    <mergeCell ref="G56:W56"/>
    <mergeCell ref="C52:T52"/>
    <mergeCell ref="U52:X52"/>
    <mergeCell ref="Y52:Z52"/>
    <mergeCell ref="AA52:AC52"/>
    <mergeCell ref="C53:T53"/>
    <mergeCell ref="U53:X53"/>
    <mergeCell ref="Y53:Z53"/>
    <mergeCell ref="AA53:AC5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6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495295-2a9b-4c7d-920f-a39ba83b8434" xsi:nil="true"/>
    <lcf76f155ced4ddcb4097134ff3c332f xmlns="c320a256-a1b1-42fb-b2a6-76a1b3f29a7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3E7E4AEB2FDE459DD46F4AE40FEB4C" ma:contentTypeVersion="10" ma:contentTypeDescription="Crear nuevo documento." ma:contentTypeScope="" ma:versionID="fa6b8a797ea116c8c5732167593a620b">
  <xsd:schema xmlns:xsd="http://www.w3.org/2001/XMLSchema" xmlns:xs="http://www.w3.org/2001/XMLSchema" xmlns:p="http://schemas.microsoft.com/office/2006/metadata/properties" xmlns:ns2="c320a256-a1b1-42fb-b2a6-76a1b3f29a71" xmlns:ns3="c9495295-2a9b-4c7d-920f-a39ba83b8434" targetNamespace="http://schemas.microsoft.com/office/2006/metadata/properties" ma:root="true" ma:fieldsID="436fb114fbbfe7d42333586662eaec4a" ns2:_="" ns3:_="">
    <xsd:import namespace="c320a256-a1b1-42fb-b2a6-76a1b3f29a71"/>
    <xsd:import namespace="c9495295-2a9b-4c7d-920f-a39ba83b84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0a256-a1b1-42fb-b2a6-76a1b3f29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91c85cfc-c5b8-4b16-95fa-4ac88a1ca5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95295-2a9b-4c7d-920f-a39ba83b843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62ff00-84c7-4316-9a97-d1e3f3b8b0d1}" ma:internalName="TaxCatchAll" ma:showField="CatchAllData" ma:web="c9495295-2a9b-4c7d-920f-a39ba83b84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EF8714-2913-4918-8FB4-F5CF2DA3B359}"/>
</file>

<file path=customXml/itemProps2.xml><?xml version="1.0" encoding="utf-8"?>
<ds:datastoreItem xmlns:ds="http://schemas.openxmlformats.org/officeDocument/2006/customXml" ds:itemID="{646CB20A-6970-40E3-89EA-7CEEDD9C928B}"/>
</file>

<file path=customXml/itemProps3.xml><?xml version="1.0" encoding="utf-8"?>
<ds:datastoreItem xmlns:ds="http://schemas.openxmlformats.org/officeDocument/2006/customXml" ds:itemID="{A3E1C421-7D54-42EB-9A8F-C64EEA6D7B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Administrativo</dc:creator>
  <cp:keywords/>
  <dc:description/>
  <cp:lastModifiedBy>ESTUDIANTE EIMI SAMARA GONZALEZ HERNANDEZ</cp:lastModifiedBy>
  <cp:revision/>
  <dcterms:created xsi:type="dcterms:W3CDTF">2022-05-25T19:40:46Z</dcterms:created>
  <dcterms:modified xsi:type="dcterms:W3CDTF">2026-09-12T07:49:34Z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0x010100003E7E4AEB2FDE459DD46F4AE40FEB4C</vt:lpwstr>
  </property>
</Properties>
</file>